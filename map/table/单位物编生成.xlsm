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C18382A8-1DD8-47F3-A7E5-0DFFAF4B3152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115" i="29" l="1"/>
  <c r="O115" i="29"/>
  <c r="M115" i="29"/>
  <c r="M88" i="29"/>
  <c r="U115" i="29"/>
  <c r="S115" i="29"/>
  <c r="Q115" i="29"/>
  <c r="P115" i="29"/>
  <c r="O74" i="29" l="1"/>
  <c r="O73" i="29"/>
  <c r="N74" i="29"/>
  <c r="M74" i="29"/>
  <c r="N73" i="29"/>
  <c r="M73" i="29"/>
  <c r="O39" i="29" l="1"/>
  <c r="N45" i="29"/>
  <c r="M45" i="29"/>
  <c r="N44" i="29"/>
  <c r="M44" i="29"/>
  <c r="M41" i="29" s="1"/>
  <c r="N41" i="29"/>
  <c r="N40" i="29"/>
  <c r="N36" i="29" l="1"/>
  <c r="N37" i="29" l="1"/>
  <c r="N38" i="29" s="1"/>
  <c r="N39" i="29" s="1"/>
  <c r="N43" i="29" l="1"/>
  <c r="N42" i="29" s="1"/>
  <c r="N54" i="29"/>
  <c r="N55" i="29" s="1"/>
  <c r="N56" i="29" s="1"/>
  <c r="N53" i="29"/>
  <c r="N47" i="29"/>
  <c r="O9" i="29"/>
  <c r="O10" i="29"/>
  <c r="O4" i="29"/>
  <c r="O43" i="29" l="1"/>
  <c r="O40" i="29" l="1"/>
  <c r="O44" i="29" s="1"/>
  <c r="O41" i="29" s="1"/>
  <c r="O45" i="29" s="1"/>
  <c r="O42" i="29" s="1"/>
  <c r="O71" i="29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62" i="29" l="1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111" i="29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111" i="29"/>
  <c r="M112" i="29" s="1"/>
  <c r="M113" i="29" s="1"/>
  <c r="M114" i="29" s="1"/>
  <c r="O62" i="29"/>
  <c r="O63" i="29" s="1"/>
  <c r="O64" i="29" s="1"/>
  <c r="M86" i="29"/>
  <c r="M87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<sst xmlns="http://schemas.openxmlformats.org/spreadsheetml/2006/main" count="879" uniqueCount="448">
  <si>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</si>
  <si>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</si>
  <si>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</si>
  <si>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</si>
  <si>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</si>
  <si>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</si>
  <si>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</si>
  <si>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</si>
  <si>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</si>
  <si>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</si>
  <si>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</si>
  <si>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</si>
  <si>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</si>
  <si>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</si>
  <si>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</si>
  <si>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</si>
  <si>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</si>
  <si>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</si>
  <si>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</si>
  <si>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</si>
  <si>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</si>
  <si>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</si>
  <si>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</si>
  <si>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</si>
  <si>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</si>
  <si>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</si>
  <si>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</si>
  <si>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</si>
  <si>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</si>
  <si>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</si>
  <si>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</si>
  <si>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</si>
  <si>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</si>
  <si>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</si>
  <si>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</si>
  <si>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</si>
  <si>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</si>
  <si>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</si>
  <si>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</si>
  <si>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</si>
  <si>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</si>
  <si>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</si>
  <si>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</si>
  <si>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</si>
  <si>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</si>
  <si>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</si>
  <si>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</si>
  <si>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</si>
  <si>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</si>
  <si>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</si>
  <si>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</si>
  <si>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</si>
  <si>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</si>
  <si>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</si>
  <si>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</si>
  <si>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</si>
  <si>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</si>
  <si>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</si>
  <si>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</si>
  <si>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</si>
  <si>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</si>
  <si>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</si>
  <si>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</si>
  <si>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</si>
  <si>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</si>
  <si>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</si>
  <si>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</si>
  <si>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</si>
  <si>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</si>
  <si>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</si>
  <si>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</si>
  <si>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</si>
  <si>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</si>
  <si>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</si>
  <si>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</si>
  <si>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</si>
  <si>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</si>
  <si>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</si>
  <si>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</si>
  <si>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</si>
  <si>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</si>
  <si>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</si>
  <si>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</si>
  <si>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</si>
  <si>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</si>
  <si>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</si>
  <si>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</si>
  <si>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</si>
  <si>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</si>
  <si>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</si>
  <si>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</si>
  <si>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</si>
  <si>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</si>
  <si>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</si>
  <si>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</si>
  <si>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</si>
  <si>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</si>
  <si>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</si>
  <si>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</si>
  <si>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</si>
  <si>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</si>
  <si>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</si>
  <si>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</si>
  <si>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</si>
  <si>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</si>
  <si>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</si>
  <si>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</si>
  <si>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</si>
  <si>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</si>
  <si>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</si>
  <si>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</si>
  <si>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</si>
  <si>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</si>
  <si>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</si>
  <si>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</si>
  <si>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</si>
  <si>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</si>
  <si>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</si>
  <si>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</si>
  <si>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</si>
  <si>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</si>
  <si>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</si>
  <si>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</si>
  <si>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</si>
  <si>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</si>
  <si>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</si>
  <si>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</si>
  <si>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</si>
  <si>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</si>
  <si>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</si>
  <si>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</si>
  <si>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</si>
  <si>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</si>
  <si>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</si>
  <si>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</si>
  <si>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</si>
  <si>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</si>
  <si>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</si>
  <si>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</si>
  <si>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</si>
  <si>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</si>
  <si>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</si>
  <si>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</si>
  <si>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</si>
  <si>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</si>
  <si>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</si>
  <si>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</si>
  <si>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</si>
  <si>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</si>
  <si>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</si>
  <si>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</si>
  <si>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</si>
  <si>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</si>
  <si>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</si>
  <si>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</si>
  <si>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</si>
  <si>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</si>
  <si>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</si>
  <si>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</si>
  <si>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</si>
  <si>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</si>
  <si>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</si>
  <si>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</si>
  <si>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</si>
  <si>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</si>
  <si>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</si>
  <si>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</si>
  <si>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</si>
  <si>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</si>
  <si>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</si>
  <si>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</si>
  <si>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</si>
  <si>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</si>
  <si>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</si>
  <si>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</si>
  <si>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</si>
  <si>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</si>
  <si>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</si>
  <si>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</si>
  <si>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</si>
  <si>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</si>
  <si>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</si>
  <si>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</si>
  <si>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</si>
  <si>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</si>
  <si>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</si>
  <si>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</si>
  <si>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</si>
  <si>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</si>
  <si>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</si>
  <si>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</si>
  <si>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</si>
  <si>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</si>
  <si>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</si>
  <si>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</si>
  <si>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</si>
  <si>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</si>
  <si>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</si>
  <si>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</si>
  <si>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</si>
  <si>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</si>
  <si>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</si>
  <si>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</si>
  <si>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</si>
  <si>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</si>
  <si>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</si>
  <si>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</si>
  <si>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</si>
  <si>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</si>
  <si>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</si>
  <si>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</si>
  <si>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</si>
  <si>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</si>
  <si>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</si>
  <si>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</si>
  <si>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</si>
  <si>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</si>
  <si>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</si>
  <si>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</si>
  <si>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</si>
  <si>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</si>
  <si>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</si>
  <si>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</si>
  <si>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</si>
  <si>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</si>
  <si>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</si>
  <si>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</si>
  <si>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</si>
  <si>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</si>
  <si>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</si>
  <si>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</si>
  <si>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</si>
  <si>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</si>
  <si>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</si>
  <si>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</si>
  <si>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</si>
  <si>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</si>
  <si>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</si>
  <si>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</si>
  <si>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</si>
  <si>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</si>
  <si>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</si>
  <si>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</si>
  <si>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</si>
  <si>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</si>
  <si>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</si>
  <si>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</si>
  <si>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</si>
  <si>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</si>
  <si>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</si>
  <si>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</si>
  <si>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</si>
  <si>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</si>
  <si>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</si>
  <si>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</si>
  <si>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</si>
  <si>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</si>
  <si>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</si>
  <si>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</si>
  <si>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</si>
  <si>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</si>
  <si>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</si>
  <si>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</si>
  <si>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</si>
  <si>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</si>
  <si>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</si>
  <si>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</si>
  <si>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</si>
  <si>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</si>
  <si>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</si>
  <si>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</si>
  <si>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</si>
  <si>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</si>
  <si>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</si>
  <si>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</si>
  <si>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</si>
  <si>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</si>
  <si>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</si>
  <si>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</si>
  <si>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</si>
  <si>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</si>
  <si>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</si>
  <si>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</si>
  <si>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</si>
  <si>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</si>
  <si>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</si>
  <si>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</si>
  <si>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</si>
  <si>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</si>
  <si>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</si>
  <si>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</si>
  <si>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</si>
  <si>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</si>
  <si>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</si>
  <si>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</si>
  <si>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</si>
  <si>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</si>
  <si>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</si>
  <si>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</si>
  <si>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</si>
  <si>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</si>
  <si>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</si>
  <si>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</si>
  <si>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</si>
  <si>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</si>
  <si>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</si>
  <si>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</si>
  <si>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</si>
  <si>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</si>
  <si>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boneguard.mdx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</si>
  <si>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</si>
  <si>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</si>
  <si>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</si>
  <si>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</si>
  <si>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</si>
  <si>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</si>
  <si>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</si>
  <si>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</si>
  <si>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</si>
  <si>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</si>
  <si>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</si>
  <si>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</si>
  <si>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</si>
  <si>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</si>
  <si>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</si>
  <si>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</si>
  <si>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</si>
  <si>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</si>
  <si>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</si>
  <si>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</si>
  <si>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</si>
  <si>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</si>
  <si>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</si>
  <si>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</si>
  <si>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</si>
  <si>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</si>
  <si>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</si>
  <si>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</si>
  <si>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</si>
  <si>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</si>
  <si>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</si>
  <si>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</si>
  <si>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</si>
  <si>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</si>
  <si>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</si>
  <si>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</si>
  <si>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</si>
  <si>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</si>
  <si>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</si>
  <si>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</si>
  <si>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</si>
  <si>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</si>
  <si>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</si>
  <si>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</si>
  <si>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</si>
  <si>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</si>
  <si>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</si>
  <si>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</si>
  <si>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</si>
  <si>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</si>
  <si>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</si>
  <si>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</si>
  <si>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</si>
  <si>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</si>
  <si>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</si>
  <si>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</si>
  <si>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</si>
  <si>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</si>
  <si>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</si>
  <si>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</si>
  <si>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</si>
  <si>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</si>
  <si>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</si>
  <si>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</si>
  <si>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</si>
  <si>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</si>
  <si>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</si>
  <si>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</si>
  <si>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</si>
  <si>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</si>
  <si>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</si>
  <si>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</si>
  <si>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</si>
  <si>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</si>
  <si>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</si>
  <si>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</si>
  <si>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</si>
  <si>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</si>
  <si>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</si>
  <si>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</si>
  <si>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</si>
  <si>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</si>
  <si>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</si>
  <si>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</si>
  <si>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</si>
  <si>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</si>
  <si>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</si>
  <si>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</si>
  <si>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</si>
  <si>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</si>
  <si>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</si>
  <si>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</si>
  <si>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</si>
  <si>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</si>
  <si>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</si>
  <si>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</si>
  <si>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</si>
  <si>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</si>
  <si>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</si>
  <si>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</si>
  <si>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</si>
  <si>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</si>
  <si>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</si>
  <si>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</si>
  <si>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</si>
  <si>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</si>
  <si>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</si>
  <si>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</si>
  <si>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</si>
  <si>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</si>
  <si>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</si>
  <si>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</si>
  <si>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</si>
  <si>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</si>
  <si>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</si>
  <si>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</si>
  <si>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</si>
  <si>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</si>
  <si>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</si>
  <si>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</si>
  <si>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</si>
  <si>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</si>
  <si>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</si>
  <si>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</si>
  <si>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</si>
  <si>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</si>
  <si>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</si>
  <si>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</si>
  <si>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</si>
  <si>
    <t>大类</t>
    <phoneticPr fontId="6" type="noConversion"/>
  </si>
  <si>
    <t>u112</t>
  </si>
  <si>
    <t>chibang2.mdx</t>
    <phoneticPr fontId="6" type="noConversion"/>
  </si>
  <si>
    <t>doudi.mdx</t>
    <phoneticPr fontId="6" type="noConversion"/>
  </si>
  <si>
    <t>挑战魅影</t>
    <phoneticPr fontId="6" type="noConversion"/>
  </si>
  <si>
    <t>u113</t>
  </si>
  <si>
    <t>斗神</t>
  </si>
  <si>
    <t>斗神</t>
    <phoneticPr fontId="6" type="noConversion"/>
  </si>
  <si>
    <t>Hero_Netherdrake_N1.mdx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</si>
</sst>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6"/>
  <sheetViews>
    <sheetView tabSelected="1" workbookViewId="0">
      <pane xSplit="1" ySplit="3" topLeftCell="B25" activePane="bottomRight" state="frozen"/>
      <selection pane="topRight"/>
      <selection pane="bottomLeft"/>
      <selection pane="bottomRight" activeCell="G39" sqref="G39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346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326</v>
      </c>
      <c r="C4" s="28" t="s">
        <v>323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324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344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343</v>
      </c>
      <c r="B34" s="11" t="s">
        <v>136</v>
      </c>
      <c r="C34" s="27" t="s">
        <v>349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349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409</v>
      </c>
      <c r="B43" s="11" t="s">
        <v>345</v>
      </c>
      <c r="C43" s="27" t="s">
        <v>325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410</v>
      </c>
      <c r="B44" s="11" t="s">
        <v>146</v>
      </c>
      <c r="C44" s="27" t="s">
        <v>325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411</v>
      </c>
      <c r="B45" s="11" t="s">
        <v>147</v>
      </c>
      <c r="C45" s="27" t="s">
        <v>325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429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431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432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350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351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352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350</v>
      </c>
      <c r="D62" s="3" t="s">
        <v>435</v>
      </c>
      <c r="G62" s="3">
        <v>1.6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3" t="s">
        <v>307</v>
      </c>
      <c r="F63" s="2"/>
      <c r="G63" s="3">
        <v>0.5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45</v>
      </c>
      <c r="D64" s="3" t="s">
        <v>308</v>
      </c>
      <c r="F64" s="2"/>
      <c r="G64" s="3">
        <v>0.5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309</v>
      </c>
      <c r="F65" s="2"/>
      <c r="G65" s="3">
        <v>2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310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311</v>
      </c>
      <c r="F76" s="2"/>
      <c r="G76" s="3">
        <v>1.7</v>
      </c>
      <c r="I76" s="3">
        <v>60</v>
      </c>
    </row>
    <row r="77" spans="1:9" ht="15" x14ac:dyDescent="0.15">
      <c r="A77" s="27" t="s">
        <v>434</v>
      </c>
      <c r="B77" s="11" t="s">
        <v>179</v>
      </c>
      <c r="C77" s="27" t="s">
        <v>350</v>
      </c>
      <c r="D77" s="3" t="s">
        <v>433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321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356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312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313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430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314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355</v>
      </c>
      <c r="D84" s="3" t="s">
        <v>435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315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317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316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2" t="s">
        <v>442</v>
      </c>
      <c r="G88" s="3">
        <v>1.1000000000000001</v>
      </c>
      <c r="I88" s="3">
        <v>60</v>
      </c>
    </row>
    <row r="89" spans="1:9" ht="15" x14ac:dyDescent="0.15">
      <c r="A89" s="50" t="s">
        <v>357</v>
      </c>
      <c r="B89" s="11" t="s">
        <v>220</v>
      </c>
      <c r="C89" s="27" t="s">
        <v>400</v>
      </c>
      <c r="D89" s="3"/>
      <c r="G89" s="3">
        <v>1.1000000000000001</v>
      </c>
      <c r="I89" s="3">
        <v>10</v>
      </c>
    </row>
    <row r="90" spans="1:9" ht="15" x14ac:dyDescent="0.15">
      <c r="A90" s="50" t="s">
        <v>358</v>
      </c>
      <c r="B90" s="11" t="s">
        <v>221</v>
      </c>
      <c r="C90" s="27" t="s">
        <v>424</v>
      </c>
      <c r="D90" s="3"/>
      <c r="G90" s="3">
        <v>1</v>
      </c>
      <c r="I90" s="3">
        <v>10</v>
      </c>
    </row>
    <row r="91" spans="1:9" ht="15" x14ac:dyDescent="0.15">
      <c r="A91" s="50" t="s">
        <v>359</v>
      </c>
      <c r="B91" s="11" t="s">
        <v>222</v>
      </c>
      <c r="C91" s="27" t="s">
        <v>425</v>
      </c>
      <c r="D91" s="3"/>
      <c r="G91" s="3">
        <v>0.8</v>
      </c>
      <c r="I91" s="3">
        <v>10</v>
      </c>
    </row>
    <row r="92" spans="1:9" ht="15" x14ac:dyDescent="0.15">
      <c r="A92" s="50" t="s">
        <v>360</v>
      </c>
      <c r="B92" s="11" t="s">
        <v>223</v>
      </c>
      <c r="C92" s="27" t="s">
        <v>426</v>
      </c>
      <c r="D92" s="3"/>
      <c r="G92" s="3">
        <v>0.7</v>
      </c>
      <c r="I92" s="3">
        <v>10</v>
      </c>
    </row>
    <row r="93" spans="1:9" ht="15" x14ac:dyDescent="0.15">
      <c r="A93" s="50" t="s">
        <v>361</v>
      </c>
      <c r="B93" s="11" t="s">
        <v>224</v>
      </c>
      <c r="C93" s="27" t="s">
        <v>45</v>
      </c>
      <c r="D93" s="3" t="s">
        <v>318</v>
      </c>
      <c r="G93" s="3">
        <v>2.5</v>
      </c>
      <c r="I93" s="3">
        <v>60</v>
      </c>
    </row>
    <row r="94" spans="1:9" ht="15" x14ac:dyDescent="0.15">
      <c r="A94" s="50" t="s">
        <v>362</v>
      </c>
      <c r="B94" s="11" t="s">
        <v>225</v>
      </c>
      <c r="C94" s="27" t="s">
        <v>45</v>
      </c>
      <c r="D94" s="23" t="s">
        <v>319</v>
      </c>
      <c r="G94" s="3">
        <v>2.5</v>
      </c>
      <c r="I94" s="3">
        <v>60</v>
      </c>
    </row>
    <row r="95" spans="1:9" ht="15" x14ac:dyDescent="0.15">
      <c r="A95" s="50" t="s">
        <v>363</v>
      </c>
      <c r="B95" s="11" t="s">
        <v>226</v>
      </c>
      <c r="C95" s="27" t="s">
        <v>45</v>
      </c>
      <c r="D95" s="23" t="s">
        <v>320</v>
      </c>
      <c r="G95" s="3">
        <v>2.5</v>
      </c>
      <c r="I95" s="3">
        <v>60</v>
      </c>
    </row>
    <row r="96" spans="1:9" ht="15" x14ac:dyDescent="0.15">
      <c r="A96" s="50" t="s">
        <v>364</v>
      </c>
      <c r="B96" s="11" t="s">
        <v>227</v>
      </c>
      <c r="C96" s="27" t="s">
        <v>45</v>
      </c>
      <c r="D96" s="23" t="s">
        <v>321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322</v>
      </c>
      <c r="G97" s="3">
        <v>1</v>
      </c>
      <c r="I97" s="1">
        <v>10</v>
      </c>
    </row>
    <row r="98" spans="1:9" ht="15" x14ac:dyDescent="0.15">
      <c r="A98" s="3" t="s">
        <v>327</v>
      </c>
      <c r="B98" s="11" t="s">
        <v>328</v>
      </c>
      <c r="C98" s="27" t="s">
        <v>45</v>
      </c>
      <c r="D98" s="23" t="s">
        <v>353</v>
      </c>
      <c r="G98" s="3">
        <v>1.5</v>
      </c>
      <c r="I98" s="3">
        <v>60</v>
      </c>
    </row>
    <row r="99" spans="1:9" ht="15" x14ac:dyDescent="0.15">
      <c r="A99" s="51" t="s">
        <v>365</v>
      </c>
      <c r="B99" s="11" t="s">
        <v>366</v>
      </c>
      <c r="C99" s="26" t="s">
        <v>367</v>
      </c>
      <c r="G99" s="3">
        <v>1.5</v>
      </c>
      <c r="I99" s="1">
        <v>10</v>
      </c>
    </row>
    <row r="100" spans="1:9" ht="15" x14ac:dyDescent="0.15">
      <c r="A100" s="52" t="s">
        <v>418</v>
      </c>
      <c r="B100" s="11" t="s">
        <v>379</v>
      </c>
      <c r="C100" s="50" t="s">
        <v>388</v>
      </c>
      <c r="G100" s="3">
        <v>1</v>
      </c>
      <c r="I100" s="3">
        <v>60</v>
      </c>
    </row>
    <row r="101" spans="1:9" ht="15" x14ac:dyDescent="0.15">
      <c r="A101" s="52" t="s">
        <v>419</v>
      </c>
      <c r="B101" s="11" t="s">
        <v>380</v>
      </c>
      <c r="C101" s="50" t="s">
        <v>389</v>
      </c>
      <c r="G101" s="3">
        <v>1</v>
      </c>
      <c r="I101" s="3">
        <v>60</v>
      </c>
    </row>
    <row r="102" spans="1:9" ht="15" x14ac:dyDescent="0.15">
      <c r="A102" s="52" t="s">
        <v>420</v>
      </c>
      <c r="B102" s="11" t="s">
        <v>381</v>
      </c>
      <c r="C102" s="50" t="s">
        <v>390</v>
      </c>
      <c r="G102" s="3">
        <v>1</v>
      </c>
      <c r="I102" s="3">
        <v>60</v>
      </c>
    </row>
    <row r="103" spans="1:9" ht="15" x14ac:dyDescent="0.15">
      <c r="A103" s="52" t="s">
        <v>421</v>
      </c>
      <c r="B103" s="11" t="s">
        <v>382</v>
      </c>
      <c r="C103" s="50" t="s">
        <v>391</v>
      </c>
      <c r="G103" s="3">
        <v>1</v>
      </c>
      <c r="I103" s="3">
        <v>60</v>
      </c>
    </row>
    <row r="104" spans="1:9" ht="15" x14ac:dyDescent="0.15">
      <c r="A104" s="52" t="s">
        <v>415</v>
      </c>
      <c r="B104" s="11" t="s">
        <v>383</v>
      </c>
      <c r="C104" s="27" t="s">
        <v>45</v>
      </c>
      <c r="D104" s="50" t="s">
        <v>392</v>
      </c>
      <c r="G104" s="3">
        <v>1</v>
      </c>
      <c r="I104" s="3">
        <v>60</v>
      </c>
    </row>
    <row r="105" spans="1:9" ht="15" x14ac:dyDescent="0.15">
      <c r="A105" s="52" t="s">
        <v>416</v>
      </c>
      <c r="B105" s="11" t="s">
        <v>384</v>
      </c>
      <c r="C105" s="27" t="s">
        <v>45</v>
      </c>
      <c r="D105" s="50" t="s">
        <v>412</v>
      </c>
      <c r="G105" s="3">
        <v>1</v>
      </c>
      <c r="I105" s="3">
        <v>60</v>
      </c>
    </row>
    <row r="106" spans="1:9" ht="15" x14ac:dyDescent="0.15">
      <c r="A106" s="52" t="s">
        <v>417</v>
      </c>
      <c r="B106" s="11" t="s">
        <v>385</v>
      </c>
      <c r="C106" s="27" t="s">
        <v>45</v>
      </c>
      <c r="D106" s="50" t="s">
        <v>393</v>
      </c>
      <c r="G106" s="3">
        <v>1</v>
      </c>
      <c r="I106" s="3">
        <v>60</v>
      </c>
    </row>
    <row r="107" spans="1:9" ht="15" x14ac:dyDescent="0.15">
      <c r="A107" s="52" t="s">
        <v>422</v>
      </c>
      <c r="B107" s="11" t="s">
        <v>386</v>
      </c>
      <c r="C107" s="27" t="s">
        <v>45</v>
      </c>
      <c r="D107" s="54" t="s">
        <v>413</v>
      </c>
      <c r="G107" s="3">
        <v>1</v>
      </c>
      <c r="I107" s="3">
        <v>60</v>
      </c>
    </row>
    <row r="108" spans="1:9" ht="15" x14ac:dyDescent="0.15">
      <c r="A108" s="52" t="s">
        <v>423</v>
      </c>
      <c r="B108" s="11" t="s">
        <v>387</v>
      </c>
      <c r="C108" s="27" t="s">
        <v>45</v>
      </c>
      <c r="D108" s="54" t="s">
        <v>441</v>
      </c>
      <c r="G108" s="3">
        <v>1</v>
      </c>
      <c r="I108" s="3">
        <v>60</v>
      </c>
    </row>
    <row r="109" spans="1:9" ht="15" x14ac:dyDescent="0.15">
      <c r="A109" s="32" t="s">
        <v>394</v>
      </c>
      <c r="B109" s="11" t="s">
        <v>395</v>
      </c>
      <c r="C109" s="27" t="s">
        <v>45</v>
      </c>
      <c r="D109" s="17" t="s">
        <v>396</v>
      </c>
      <c r="G109" s="3">
        <v>1.5</v>
      </c>
      <c r="I109" s="3">
        <v>60</v>
      </c>
    </row>
    <row r="110" spans="1:9" ht="15" x14ac:dyDescent="0.15">
      <c r="A110" s="16" t="s">
        <v>397</v>
      </c>
      <c r="B110" s="11" t="s">
        <v>398</v>
      </c>
      <c r="C110" s="27" t="s">
        <v>399</v>
      </c>
      <c r="G110" s="3">
        <v>1</v>
      </c>
      <c r="I110" s="1">
        <v>10</v>
      </c>
    </row>
    <row r="111" spans="1:9" ht="15" x14ac:dyDescent="0.15">
      <c r="A111" s="50" t="s">
        <v>401</v>
      </c>
      <c r="B111" s="11" t="s">
        <v>405</v>
      </c>
      <c r="C111" s="27" t="s">
        <v>45</v>
      </c>
      <c r="D111" s="17" t="s">
        <v>392</v>
      </c>
      <c r="G111" s="3">
        <v>1</v>
      </c>
      <c r="I111" s="3">
        <v>60</v>
      </c>
    </row>
    <row r="112" spans="1:9" ht="15" x14ac:dyDescent="0.15">
      <c r="A112" s="50" t="s">
        <v>402</v>
      </c>
      <c r="B112" s="11" t="s">
        <v>406</v>
      </c>
      <c r="C112" s="27" t="s">
        <v>45</v>
      </c>
      <c r="D112" s="2" t="s">
        <v>414</v>
      </c>
      <c r="G112" s="3">
        <v>1</v>
      </c>
      <c r="I112" s="3">
        <v>60</v>
      </c>
    </row>
    <row r="113" spans="1:9" ht="15" x14ac:dyDescent="0.15">
      <c r="A113" s="50" t="s">
        <v>403</v>
      </c>
      <c r="B113" s="11" t="s">
        <v>407</v>
      </c>
      <c r="C113" s="27" t="s">
        <v>45</v>
      </c>
      <c r="D113" s="2" t="s">
        <v>428</v>
      </c>
      <c r="G113" s="3">
        <v>0.62</v>
      </c>
      <c r="I113" s="3">
        <v>60</v>
      </c>
    </row>
    <row r="114" spans="1:9" ht="15" x14ac:dyDescent="0.15">
      <c r="A114" s="50" t="s">
        <v>404</v>
      </c>
      <c r="B114" s="11" t="s">
        <v>408</v>
      </c>
      <c r="C114" s="27" t="s">
        <v>45</v>
      </c>
      <c r="D114" s="2" t="s">
        <v>427</v>
      </c>
      <c r="G114" s="3">
        <v>1</v>
      </c>
      <c r="I114" s="3">
        <v>60</v>
      </c>
    </row>
    <row r="115" spans="1:9" ht="15" x14ac:dyDescent="0.15">
      <c r="A115" s="27" t="s">
        <v>446</v>
      </c>
      <c r="B115" s="11" t="s">
        <v>440</v>
      </c>
      <c r="C115" s="27" t="s">
        <v>45</v>
      </c>
      <c r="D115" s="3" t="s">
        <v>339</v>
      </c>
      <c r="G115" s="3">
        <v>1.1000000000000001</v>
      </c>
      <c r="I115" s="3">
        <v>60</v>
      </c>
    </row>
    <row r="116" spans="1:9" ht="15" x14ac:dyDescent="0.15">
      <c r="A116" s="52" t="s">
        <v>443</v>
      </c>
      <c r="B116" s="11" t="s">
        <v>444</v>
      </c>
      <c r="C116" s="50" t="s">
        <v>391</v>
      </c>
      <c r="D116" s="2" t="s">
        <v>447</v>
      </c>
      <c r="G116" s="3">
        <v>1</v>
      </c>
      <c r="I116" s="3">
        <v>60</v>
      </c>
    </row>
  </sheetData>
  <phoneticPr fontId="6" type="noConversion"/>
  <conditionalFormatting sqref="A99">
    <cfRule type="duplicateValues" dxfId="5" priority="5"/>
  </conditionalFormatting>
  <conditionalFormatting sqref="D98">
    <cfRule type="duplicateValues" dxfId="4" priority="3"/>
  </conditionalFormatting>
  <conditionalFormatting sqref="D115 D4:D50 D52:D61 D71:D77 D79:D87 D89:D97 D63:D69">
    <cfRule type="duplicateValues" dxfId="3" priority="9"/>
  </conditionalFormatting>
  <conditionalFormatting sqref="D78">
    <cfRule type="duplicateValues" dxfId="2" priority="2"/>
  </conditionalFormatting>
  <conditionalFormatting sqref="D62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16"/>
  <sheetViews>
    <sheetView zoomScaleNormal="100" workbookViewId="0">
      <pane ySplit="3" topLeftCell="A88" activePane="bottomLeft" state="frozen"/>
      <selection activeCell="D1" sqref="D1"/>
      <selection pane="bottomLeft" activeCell="E116" sqref="E116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2" t="s">
        <v>0</v>
      </c>
      <c r="L1" s="12" t="s">
        <v>336</v>
      </c>
      <c r="M1" s="12" t="s">
        <v>338</v>
      </c>
      <c r="N1" s="12" t="s">
        <v>338</v>
      </c>
      <c r="O1" s="12" t="s">
        <v>338</v>
      </c>
      <c r="P1" s="12" t="s">
        <v>338</v>
      </c>
      <c r="Q1" s="12" t="s">
        <v>338</v>
      </c>
      <c r="R1" s="12" t="s">
        <v>338</v>
      </c>
      <c r="S1" s="12" t="s">
        <v>338</v>
      </c>
      <c r="T1" s="12" t="s">
        <v>338</v>
      </c>
      <c r="U1" s="12" t="s">
        <v>338</v>
      </c>
      <c r="V1" s="12" t="s">
        <v>338</v>
      </c>
      <c r="W1" s="12" t="s">
        <v>338</v>
      </c>
      <c r="X1" s="12" t="s">
        <v>338</v>
      </c>
      <c r="Y1" s="12" t="s">
        <v>338</v>
      </c>
      <c r="Z1" s="12" t="s">
        <v>338</v>
      </c>
      <c r="AA1" s="6" t="s">
        <v>337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330</v>
      </c>
      <c r="H2" s="13" t="s">
        <v>331</v>
      </c>
      <c r="I2" s="12" t="s">
        <v>199</v>
      </c>
      <c r="J2" s="44" t="s">
        <v>200</v>
      </c>
      <c r="K2" s="46" t="s">
        <v>439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340</v>
      </c>
      <c r="D3" s="1" t="s">
        <v>217</v>
      </c>
      <c r="E3" s="20" t="s">
        <v>196</v>
      </c>
      <c r="F3" s="7" t="s">
        <v>187</v>
      </c>
      <c r="G3" s="8" t="s">
        <v>332</v>
      </c>
      <c r="H3" s="8" t="s">
        <v>333</v>
      </c>
      <c r="I3" s="7" t="s">
        <v>188</v>
      </c>
      <c r="J3" s="45" t="s">
        <v>354</v>
      </c>
      <c r="K3" s="44" t="s">
        <v>437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436</v>
      </c>
      <c r="U3" s="8" t="s">
        <v>201</v>
      </c>
      <c r="V3" s="8" t="s">
        <v>229</v>
      </c>
      <c r="W3" s="38" t="s">
        <v>347</v>
      </c>
      <c r="X3" s="38" t="s">
        <v>348</v>
      </c>
      <c r="Y3" s="38" t="s">
        <v>334</v>
      </c>
      <c r="Z3" s="38" t="s">
        <v>335</v>
      </c>
    </row>
    <row r="4" spans="1:27" ht="15" x14ac:dyDescent="0.15">
      <c r="A4" s="27" t="s">
        <v>36</v>
      </c>
      <c r="B4" s="11" t="s">
        <v>326</v>
      </c>
      <c r="C4" s="12" t="s">
        <v>329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329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329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329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329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329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329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329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329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329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329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329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329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329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329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329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329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329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329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329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329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329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329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329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329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341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341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341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341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341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341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329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438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329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438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329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438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329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438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329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438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329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438</v>
      </c>
      <c r="L40" s="34"/>
      <c r="M40" s="39">
        <f t="shared" ref="M40:O40" si="30">M43*2</f>
        <v>20000000</v>
      </c>
      <c r="N40" s="39">
        <f t="shared" si="30"/>
        <v>506.25</v>
      </c>
      <c r="O40" s="39">
        <f t="shared" si="30"/>
        <v>32000000</v>
      </c>
      <c r="P40" s="39">
        <f t="shared" ref="P40:V40" si="31">P14</f>
        <v>10000</v>
      </c>
      <c r="Q40" s="39">
        <f t="shared" si="31"/>
        <v>400</v>
      </c>
      <c r="R40" s="40">
        <f t="shared" si="31"/>
        <v>0.9</v>
      </c>
      <c r="S40" s="39">
        <f t="shared" si="31"/>
        <v>10810.800000000001</v>
      </c>
      <c r="T40" s="35">
        <v>0</v>
      </c>
      <c r="U40" s="39">
        <f t="shared" si="31"/>
        <v>200</v>
      </c>
      <c r="V40" s="39">
        <f t="shared" si="31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329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438</v>
      </c>
      <c r="L41" s="34"/>
      <c r="M41" s="39">
        <f>M44*2.05</f>
        <v>84050000</v>
      </c>
      <c r="N41" s="39">
        <f>N44*2.05</f>
        <v>2127.515625</v>
      </c>
      <c r="O41" s="39">
        <f>O44*2.05</f>
        <v>134479999.99999997</v>
      </c>
      <c r="P41" s="39">
        <f t="shared" ref="P41:V41" si="32">P16</f>
        <v>10000</v>
      </c>
      <c r="Q41" s="39">
        <f t="shared" si="32"/>
        <v>410</v>
      </c>
      <c r="R41" s="40">
        <f t="shared" si="32"/>
        <v>0.9</v>
      </c>
      <c r="S41" s="39">
        <f t="shared" si="32"/>
        <v>16864.848000000002</v>
      </c>
      <c r="T41" s="35">
        <v>0</v>
      </c>
      <c r="U41" s="39">
        <f t="shared" si="32"/>
        <v>200</v>
      </c>
      <c r="V41" s="39">
        <f t="shared" si="32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329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438</v>
      </c>
      <c r="L42" s="34"/>
      <c r="M42" s="39">
        <f>M45*2.05</f>
        <v>353220124.99999988</v>
      </c>
      <c r="N42" s="39">
        <f t="shared" ref="N42:O42" si="33">N45*2.05</f>
        <v>8940.8844140624988</v>
      </c>
      <c r="O42" s="39">
        <f t="shared" si="33"/>
        <v>565152199.99999988</v>
      </c>
      <c r="P42" s="39">
        <f t="shared" ref="P42:V42" si="34">P18</f>
        <v>10000</v>
      </c>
      <c r="Q42" s="39">
        <f t="shared" si="34"/>
        <v>420</v>
      </c>
      <c r="R42" s="40">
        <f t="shared" si="34"/>
        <v>0.9</v>
      </c>
      <c r="S42" s="39">
        <f t="shared" si="34"/>
        <v>24285.381119999998</v>
      </c>
      <c r="T42" s="35">
        <v>0</v>
      </c>
      <c r="U42" s="39">
        <f t="shared" si="34"/>
        <v>200</v>
      </c>
      <c r="V42" s="39">
        <f t="shared" si="34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376</v>
      </c>
      <c r="B43" s="11" t="s">
        <v>145</v>
      </c>
      <c r="C43" s="12" t="s">
        <v>329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438</v>
      </c>
      <c r="L43" s="34"/>
      <c r="M43" s="39">
        <f t="shared" ref="M43:O43" si="35">M39*2</f>
        <v>10000000</v>
      </c>
      <c r="N43" s="39">
        <f>N39*2</f>
        <v>253.125</v>
      </c>
      <c r="O43" s="39">
        <f t="shared" si="35"/>
        <v>16000000</v>
      </c>
      <c r="P43" s="39">
        <f t="shared" ref="P43:U43" si="36">P8</f>
        <v>1000</v>
      </c>
      <c r="Q43" s="39">
        <f t="shared" si="36"/>
        <v>370</v>
      </c>
      <c r="R43" s="40">
        <f t="shared" si="36"/>
        <v>1</v>
      </c>
      <c r="S43" s="39">
        <f t="shared" si="36"/>
        <v>800</v>
      </c>
      <c r="T43" s="35">
        <v>0</v>
      </c>
      <c r="U43" s="39">
        <f t="shared" si="36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377</v>
      </c>
      <c r="B44" s="11" t="s">
        <v>146</v>
      </c>
      <c r="C44" s="12" t="s">
        <v>329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438</v>
      </c>
      <c r="L44" s="34"/>
      <c r="M44" s="39">
        <f>M40*2.05</f>
        <v>41000000</v>
      </c>
      <c r="N44" s="39">
        <f t="shared" ref="N44:O44" si="37">N40*2.05</f>
        <v>1037.8125</v>
      </c>
      <c r="O44" s="39">
        <f t="shared" si="37"/>
        <v>65599999.999999993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378</v>
      </c>
      <c r="B45" s="11" t="s">
        <v>147</v>
      </c>
      <c r="C45" s="12" t="s">
        <v>329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438</v>
      </c>
      <c r="L45" s="34"/>
      <c r="M45" s="39">
        <f>M41*2.05</f>
        <v>172302499.99999997</v>
      </c>
      <c r="N45" s="39">
        <f t="shared" ref="N45:O45" si="39">N41*2.05</f>
        <v>4361.4070312499998</v>
      </c>
      <c r="O45" s="39">
        <f t="shared" si="39"/>
        <v>275683999.99999994</v>
      </c>
      <c r="P45" s="39">
        <f t="shared" ref="P45:V45" si="40">P23</f>
        <v>10000</v>
      </c>
      <c r="Q45" s="39">
        <f t="shared" si="40"/>
        <v>445</v>
      </c>
      <c r="R45" s="40">
        <f t="shared" si="40"/>
        <v>0.9</v>
      </c>
      <c r="S45" s="39">
        <f t="shared" si="40"/>
        <v>76376.552207155182</v>
      </c>
      <c r="T45" s="35">
        <v>0</v>
      </c>
      <c r="U45" s="39">
        <f t="shared" si="40"/>
        <v>200</v>
      </c>
      <c r="V45" s="39">
        <f t="shared" si="40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341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1">P4*3</f>
        <v>300</v>
      </c>
      <c r="Q46" s="35">
        <f t="shared" ref="Q46:Q70" si="42">Q4</f>
        <v>350</v>
      </c>
      <c r="R46" s="36">
        <v>0.75</v>
      </c>
      <c r="S46" s="35">
        <f t="shared" ref="S46:V70" si="43">S4</f>
        <v>11.000000000000002</v>
      </c>
      <c r="T46" s="35">
        <v>0</v>
      </c>
      <c r="U46" s="35">
        <f t="shared" si="43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341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4">O46*1.25</f>
        <v>9375000</v>
      </c>
      <c r="P47" s="39">
        <f t="shared" si="41"/>
        <v>300</v>
      </c>
      <c r="Q47" s="35">
        <f t="shared" si="42"/>
        <v>355</v>
      </c>
      <c r="R47" s="36">
        <v>0.75</v>
      </c>
      <c r="S47" s="35">
        <f t="shared" si="43"/>
        <v>100</v>
      </c>
      <c r="T47" s="35">
        <v>0</v>
      </c>
      <c r="U47" s="35">
        <f t="shared" si="43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341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1"/>
        <v>300</v>
      </c>
      <c r="Q48" s="35">
        <f t="shared" si="42"/>
        <v>360</v>
      </c>
      <c r="R48" s="36">
        <v>0.75</v>
      </c>
      <c r="S48" s="35">
        <f t="shared" si="43"/>
        <v>200</v>
      </c>
      <c r="T48" s="35">
        <v>0</v>
      </c>
      <c r="U48" s="35">
        <f t="shared" si="43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341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5">N48*1.25</f>
        <v>150</v>
      </c>
      <c r="O49" s="39">
        <f t="shared" si="45"/>
        <v>22888183.59375</v>
      </c>
      <c r="P49" s="39">
        <f t="shared" si="41"/>
        <v>3000</v>
      </c>
      <c r="Q49" s="35">
        <f t="shared" si="42"/>
        <v>365</v>
      </c>
      <c r="R49" s="36">
        <v>0.75</v>
      </c>
      <c r="S49" s="35">
        <f t="shared" si="43"/>
        <v>400</v>
      </c>
      <c r="T49" s="35">
        <v>0</v>
      </c>
      <c r="U49" s="35">
        <f t="shared" si="43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341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1"/>
        <v>3000</v>
      </c>
      <c r="Q50" s="35">
        <f t="shared" si="42"/>
        <v>370</v>
      </c>
      <c r="R50" s="36">
        <v>0.75</v>
      </c>
      <c r="S50" s="35">
        <f t="shared" si="43"/>
        <v>800</v>
      </c>
      <c r="T50" s="35">
        <v>0</v>
      </c>
      <c r="U50" s="35">
        <f t="shared" si="43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341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6">N50*1.25</f>
        <v>312.5</v>
      </c>
      <c r="O51" s="39">
        <f t="shared" si="46"/>
        <v>62500000</v>
      </c>
      <c r="P51" s="39">
        <f t="shared" si="41"/>
        <v>30000</v>
      </c>
      <c r="Q51" s="35">
        <f t="shared" si="42"/>
        <v>375</v>
      </c>
      <c r="R51" s="36">
        <v>0.75</v>
      </c>
      <c r="S51" s="35">
        <f t="shared" si="43"/>
        <v>1760</v>
      </c>
      <c r="T51" s="35">
        <v>0</v>
      </c>
      <c r="U51" s="35">
        <f t="shared" si="43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341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1"/>
        <v>30000</v>
      </c>
      <c r="Q52" s="35">
        <f t="shared" si="42"/>
        <v>380</v>
      </c>
      <c r="R52" s="36">
        <v>0.75</v>
      </c>
      <c r="S52" s="35">
        <f t="shared" si="43"/>
        <v>2640</v>
      </c>
      <c r="T52" s="35">
        <v>0</v>
      </c>
      <c r="U52" s="35">
        <f t="shared" si="43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341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1"/>
        <v>30000</v>
      </c>
      <c r="Q53" s="35">
        <f t="shared" si="42"/>
        <v>385</v>
      </c>
      <c r="R53" s="36">
        <v>0.75</v>
      </c>
      <c r="S53" s="35">
        <f t="shared" si="43"/>
        <v>3960</v>
      </c>
      <c r="T53" s="35">
        <v>0</v>
      </c>
      <c r="U53" s="35">
        <f t="shared" si="43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341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7">N53*1.7</f>
        <v>1168.75</v>
      </c>
      <c r="O54" s="39">
        <f t="shared" si="47"/>
        <v>265625000</v>
      </c>
      <c r="P54" s="39">
        <f t="shared" si="41"/>
        <v>30000</v>
      </c>
      <c r="Q54" s="35">
        <f t="shared" si="42"/>
        <v>390</v>
      </c>
      <c r="R54" s="36">
        <v>0.75</v>
      </c>
      <c r="S54" s="35">
        <f t="shared" si="43"/>
        <v>5940</v>
      </c>
      <c r="T54" s="35">
        <v>0</v>
      </c>
      <c r="U54" s="35">
        <f t="shared" si="43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341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8">N54*1.25</f>
        <v>1460.9375</v>
      </c>
      <c r="O55" s="39">
        <f t="shared" si="48"/>
        <v>332031250</v>
      </c>
      <c r="P55" s="39">
        <f t="shared" si="41"/>
        <v>30000</v>
      </c>
      <c r="Q55" s="35">
        <f t="shared" si="42"/>
        <v>395</v>
      </c>
      <c r="R55" s="36">
        <v>0.75</v>
      </c>
      <c r="S55" s="35">
        <f t="shared" si="43"/>
        <v>8316</v>
      </c>
      <c r="T55" s="35">
        <v>0</v>
      </c>
      <c r="U55" s="35">
        <f t="shared" si="43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341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9">N55*1.6</f>
        <v>2337.5</v>
      </c>
      <c r="O56" s="39">
        <f t="shared" si="49"/>
        <v>531250000</v>
      </c>
      <c r="P56" s="39">
        <f t="shared" si="41"/>
        <v>30000</v>
      </c>
      <c r="Q56" s="35">
        <f t="shared" si="42"/>
        <v>400</v>
      </c>
      <c r="R56" s="36">
        <v>0.75</v>
      </c>
      <c r="S56" s="35">
        <f t="shared" si="43"/>
        <v>10810.800000000001</v>
      </c>
      <c r="T56" s="35">
        <v>0</v>
      </c>
      <c r="U56" s="35">
        <f t="shared" si="43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341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50">N56*1.1</f>
        <v>2571.25</v>
      </c>
      <c r="O57" s="39">
        <f t="shared" si="50"/>
        <v>584375000</v>
      </c>
      <c r="P57" s="39">
        <f t="shared" si="41"/>
        <v>30000</v>
      </c>
      <c r="Q57" s="35">
        <f t="shared" si="42"/>
        <v>405</v>
      </c>
      <c r="R57" s="36">
        <v>0.75</v>
      </c>
      <c r="S57" s="35">
        <f t="shared" si="43"/>
        <v>14054.04</v>
      </c>
      <c r="T57" s="35">
        <v>0</v>
      </c>
      <c r="U57" s="35">
        <f t="shared" si="43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341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1">N57*1.6</f>
        <v>4114</v>
      </c>
      <c r="O58" s="39">
        <f t="shared" si="51"/>
        <v>935000000</v>
      </c>
      <c r="P58" s="39">
        <f t="shared" si="41"/>
        <v>30000</v>
      </c>
      <c r="Q58" s="35">
        <f t="shared" si="42"/>
        <v>410</v>
      </c>
      <c r="R58" s="36">
        <v>0.75</v>
      </c>
      <c r="S58" s="35">
        <f t="shared" si="43"/>
        <v>16864.848000000002</v>
      </c>
      <c r="T58" s="35">
        <v>0</v>
      </c>
      <c r="U58" s="35">
        <f t="shared" si="43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341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2">N58*1.1</f>
        <v>4525.4000000000005</v>
      </c>
      <c r="O59" s="39">
        <f t="shared" si="52"/>
        <v>1028500000.0000001</v>
      </c>
      <c r="P59" s="39">
        <f t="shared" si="41"/>
        <v>30000</v>
      </c>
      <c r="Q59" s="35">
        <f t="shared" si="42"/>
        <v>415</v>
      </c>
      <c r="R59" s="36">
        <v>0.75</v>
      </c>
      <c r="S59" s="35">
        <f t="shared" si="43"/>
        <v>20237.817600000002</v>
      </c>
      <c r="T59" s="35">
        <v>0</v>
      </c>
      <c r="U59" s="35">
        <f t="shared" si="43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341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3">N59*1.5</f>
        <v>6788.1</v>
      </c>
      <c r="O60" s="39">
        <f t="shared" si="53"/>
        <v>1542750000.0000002</v>
      </c>
      <c r="P60" s="39">
        <f t="shared" si="41"/>
        <v>30000</v>
      </c>
      <c r="Q60" s="35">
        <f t="shared" si="42"/>
        <v>420</v>
      </c>
      <c r="R60" s="36">
        <v>0.75</v>
      </c>
      <c r="S60" s="35">
        <f t="shared" si="43"/>
        <v>24285.381119999998</v>
      </c>
      <c r="T60" s="35">
        <v>0</v>
      </c>
      <c r="U60" s="35">
        <f t="shared" si="43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341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4">N60*1.1</f>
        <v>7466.9100000000008</v>
      </c>
      <c r="O61" s="39">
        <f t="shared" si="54"/>
        <v>1697025000.0000005</v>
      </c>
      <c r="P61" s="39">
        <f t="shared" si="41"/>
        <v>30000</v>
      </c>
      <c r="Q61" s="35">
        <f t="shared" si="42"/>
        <v>425</v>
      </c>
      <c r="R61" s="36">
        <v>0.75</v>
      </c>
      <c r="S61" s="35">
        <f t="shared" si="43"/>
        <v>33999.533567999999</v>
      </c>
      <c r="T61" s="35">
        <v>0</v>
      </c>
      <c r="U61" s="35">
        <f t="shared" si="43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341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5">N61*1.5</f>
        <v>11200.365000000002</v>
      </c>
      <c r="O62" s="39">
        <f t="shared" si="55"/>
        <v>2545537500.000001</v>
      </c>
      <c r="P62" s="39">
        <f t="shared" si="41"/>
        <v>30000</v>
      </c>
      <c r="Q62" s="35">
        <f t="shared" si="42"/>
        <v>430</v>
      </c>
      <c r="R62" s="36">
        <v>0.75</v>
      </c>
      <c r="S62" s="35">
        <f t="shared" si="43"/>
        <v>44199.393638399997</v>
      </c>
      <c r="T62" s="35">
        <v>0</v>
      </c>
      <c r="U62" s="35">
        <f t="shared" si="43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341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6">N62*1.1</f>
        <v>12320.401500000004</v>
      </c>
      <c r="O63" s="39">
        <f t="shared" si="56"/>
        <v>2800091250.0000014</v>
      </c>
      <c r="P63" s="39">
        <f t="shared" si="41"/>
        <v>30000</v>
      </c>
      <c r="Q63" s="35">
        <f t="shared" si="42"/>
        <v>435</v>
      </c>
      <c r="R63" s="36">
        <v>0.75</v>
      </c>
      <c r="S63" s="35">
        <f t="shared" si="43"/>
        <v>53039.272366079997</v>
      </c>
      <c r="T63" s="35">
        <v>0</v>
      </c>
      <c r="U63" s="35">
        <f t="shared" si="43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341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7">N63*1.5</f>
        <v>18480.602250000004</v>
      </c>
      <c r="O64" s="39">
        <f t="shared" si="57"/>
        <v>4200136875.0000019</v>
      </c>
      <c r="P64" s="39">
        <f t="shared" si="41"/>
        <v>30000</v>
      </c>
      <c r="Q64" s="35">
        <f t="shared" si="42"/>
        <v>440</v>
      </c>
      <c r="R64" s="36">
        <v>0.75</v>
      </c>
      <c r="S64" s="35">
        <f t="shared" si="43"/>
        <v>63647.126839295983</v>
      </c>
      <c r="T64" s="35">
        <v>0</v>
      </c>
      <c r="U64" s="35">
        <f t="shared" si="43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341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8">O64*1.1</f>
        <v>4620150562.5000029</v>
      </c>
      <c r="P65" s="39">
        <f t="shared" si="41"/>
        <v>30000</v>
      </c>
      <c r="Q65" s="35">
        <f t="shared" si="42"/>
        <v>445</v>
      </c>
      <c r="R65" s="36">
        <v>0.75</v>
      </c>
      <c r="S65" s="35">
        <f t="shared" si="43"/>
        <v>76376.552207155182</v>
      </c>
      <c r="T65" s="35">
        <v>0</v>
      </c>
      <c r="U65" s="35">
        <f t="shared" si="43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341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1"/>
        <v>30000</v>
      </c>
      <c r="Q66" s="35">
        <f t="shared" si="42"/>
        <v>450</v>
      </c>
      <c r="R66" s="36">
        <v>0.75</v>
      </c>
      <c r="S66" s="35">
        <f t="shared" si="43"/>
        <v>106927.17309001726</v>
      </c>
      <c r="T66" s="35">
        <v>0</v>
      </c>
      <c r="U66" s="35">
        <f t="shared" si="43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341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1"/>
        <v>30000</v>
      </c>
      <c r="Q67" s="35">
        <f t="shared" si="42"/>
        <v>455</v>
      </c>
      <c r="R67" s="36">
        <v>0.75</v>
      </c>
      <c r="S67" s="35">
        <f t="shared" si="43"/>
        <v>139005.32501702243</v>
      </c>
      <c r="T67" s="35">
        <v>0</v>
      </c>
      <c r="U67" s="35">
        <f t="shared" si="43"/>
        <v>200</v>
      </c>
      <c r="V67" s="35">
        <f t="shared" si="43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341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1"/>
        <v>30000</v>
      </c>
      <c r="Q68" s="35">
        <f t="shared" si="42"/>
        <v>460</v>
      </c>
      <c r="R68" s="36">
        <v>0.75</v>
      </c>
      <c r="S68" s="35">
        <f t="shared" si="43"/>
        <v>180706.92252212917</v>
      </c>
      <c r="T68" s="35">
        <v>0</v>
      </c>
      <c r="U68" s="35">
        <f t="shared" si="43"/>
        <v>200</v>
      </c>
      <c r="V68" s="35">
        <f t="shared" si="43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341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1"/>
        <v>30000</v>
      </c>
      <c r="Q69" s="35">
        <f t="shared" si="42"/>
        <v>465</v>
      </c>
      <c r="R69" s="36">
        <v>0.75</v>
      </c>
      <c r="S69" s="35">
        <f t="shared" si="43"/>
        <v>234918.99927876794</v>
      </c>
      <c r="T69" s="35">
        <v>0</v>
      </c>
      <c r="U69" s="35">
        <f t="shared" si="43"/>
        <v>200</v>
      </c>
      <c r="V69" s="35">
        <f t="shared" si="43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341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1"/>
        <v>30000</v>
      </c>
      <c r="Q70" s="35">
        <f t="shared" si="42"/>
        <v>470</v>
      </c>
      <c r="R70" s="36">
        <v>0.75</v>
      </c>
      <c r="S70" s="35">
        <f t="shared" si="43"/>
        <v>281902.79913452151</v>
      </c>
      <c r="T70" s="35">
        <v>0</v>
      </c>
      <c r="U70" s="35">
        <f t="shared" si="43"/>
        <v>200</v>
      </c>
      <c r="V70" s="35">
        <f t="shared" si="43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342</v>
      </c>
      <c r="B71" s="11" t="s">
        <v>173</v>
      </c>
      <c r="C71" s="12" t="s">
        <v>341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341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9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341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>M61*0.9*0.8</f>
        <v>610929000.00000024</v>
      </c>
      <c r="N73" s="39">
        <f t="shared" ref="N73" si="60">N61*0.9*0.8</f>
        <v>5376.1752000000015</v>
      </c>
      <c r="O73" s="39">
        <f>O61*0.9*0.8*2</f>
        <v>2443716000.000001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3000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341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>M65*0.9*0.8</f>
        <v>1663254202.5000012</v>
      </c>
      <c r="N74" s="39">
        <f t="shared" ref="N74" si="61">N65*0.9*0.8</f>
        <v>14636.636982000005</v>
      </c>
      <c r="O74" s="39">
        <f>O65*0.9*0.8*2</f>
        <v>6653016810.0000048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4000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341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341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2">M55*1.1</f>
        <v>182617187.5</v>
      </c>
      <c r="N76" s="39">
        <f t="shared" si="62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341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3">M63*0.9</f>
        <v>1260041062.5000007</v>
      </c>
      <c r="N77" s="39">
        <f t="shared" si="63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341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4">M65*1.2</f>
        <v>2772090337.5000014</v>
      </c>
      <c r="N78" s="39">
        <f t="shared" si="64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341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5">N53*1.1</f>
        <v>756.25000000000011</v>
      </c>
      <c r="O79" s="39">
        <f t="shared" si="65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341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6">N55*1.1</f>
        <v>1607.0312500000002</v>
      </c>
      <c r="O80" s="39">
        <f t="shared" si="66"/>
        <v>365234375</v>
      </c>
      <c r="P80" s="39">
        <f t="shared" ref="P80:Q88" si="67">P52*1</f>
        <v>30000</v>
      </c>
      <c r="Q80" s="39">
        <f t="shared" si="67"/>
        <v>380</v>
      </c>
      <c r="R80" s="36">
        <v>0.75</v>
      </c>
      <c r="S80" s="39">
        <f t="shared" ref="S80:U88" si="68">S52*1</f>
        <v>2640</v>
      </c>
      <c r="T80" s="35">
        <v>0</v>
      </c>
      <c r="U80" s="39">
        <f t="shared" si="68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341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9">N57*1.1</f>
        <v>2828.3750000000005</v>
      </c>
      <c r="O81" s="39">
        <f t="shared" si="69"/>
        <v>642812500</v>
      </c>
      <c r="P81" s="39">
        <f t="shared" si="67"/>
        <v>30000</v>
      </c>
      <c r="Q81" s="39">
        <f t="shared" si="67"/>
        <v>385</v>
      </c>
      <c r="R81" s="36">
        <v>0.75</v>
      </c>
      <c r="S81" s="39">
        <f t="shared" si="68"/>
        <v>3960</v>
      </c>
      <c r="T81" s="35">
        <v>0</v>
      </c>
      <c r="U81" s="39">
        <f t="shared" si="68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341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70">N59*1.1</f>
        <v>4977.9400000000014</v>
      </c>
      <c r="O82" s="39">
        <f t="shared" si="70"/>
        <v>1131350000.0000002</v>
      </c>
      <c r="P82" s="39">
        <f t="shared" si="67"/>
        <v>30000</v>
      </c>
      <c r="Q82" s="39">
        <f t="shared" si="67"/>
        <v>390</v>
      </c>
      <c r="R82" s="36">
        <v>0.75</v>
      </c>
      <c r="S82" s="39">
        <f t="shared" si="68"/>
        <v>5940</v>
      </c>
      <c r="T82" s="35">
        <v>0</v>
      </c>
      <c r="U82" s="39">
        <f t="shared" si="68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341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1">N61*1.1</f>
        <v>8213.6010000000024</v>
      </c>
      <c r="O83" s="39">
        <f t="shared" si="71"/>
        <v>1866727500.0000007</v>
      </c>
      <c r="P83" s="39">
        <f t="shared" si="67"/>
        <v>30000</v>
      </c>
      <c r="Q83" s="39">
        <f t="shared" si="67"/>
        <v>395</v>
      </c>
      <c r="R83" s="36">
        <v>0.75</v>
      </c>
      <c r="S83" s="39">
        <f t="shared" si="68"/>
        <v>8316</v>
      </c>
      <c r="T83" s="35">
        <v>0</v>
      </c>
      <c r="U83" s="39">
        <f t="shared" si="68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341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2">N63*1.1</f>
        <v>13552.441650000004</v>
      </c>
      <c r="O84" s="39">
        <f t="shared" si="72"/>
        <v>3080100375.0000019</v>
      </c>
      <c r="P84" s="39">
        <f t="shared" si="67"/>
        <v>30000</v>
      </c>
      <c r="Q84" s="39">
        <f t="shared" si="67"/>
        <v>400</v>
      </c>
      <c r="R84" s="36">
        <v>0.75</v>
      </c>
      <c r="S84" s="39">
        <f t="shared" si="68"/>
        <v>10810.800000000001</v>
      </c>
      <c r="T84" s="35">
        <v>0</v>
      </c>
      <c r="U84" s="39">
        <f t="shared" si="68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341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3">N65*1.05</f>
        <v>21345.095598750006</v>
      </c>
      <c r="O85" s="39">
        <f t="shared" si="73"/>
        <v>4851158090.6250029</v>
      </c>
      <c r="P85" s="39">
        <f t="shared" si="67"/>
        <v>30000</v>
      </c>
      <c r="Q85" s="39">
        <f t="shared" si="67"/>
        <v>405</v>
      </c>
      <c r="R85" s="36">
        <v>0.75</v>
      </c>
      <c r="S85" s="39">
        <f t="shared" si="68"/>
        <v>14054.04</v>
      </c>
      <c r="T85" s="35">
        <v>0</v>
      </c>
      <c r="U85" s="39">
        <f t="shared" si="68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341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4">N85*1.1</f>
        <v>23479.605158625007</v>
      </c>
      <c r="O86" s="39">
        <f t="shared" si="74"/>
        <v>5336273899.6875038</v>
      </c>
      <c r="P86" s="39">
        <f t="shared" si="67"/>
        <v>30000</v>
      </c>
      <c r="Q86" s="39">
        <f t="shared" si="67"/>
        <v>410</v>
      </c>
      <c r="R86" s="36">
        <v>0.75</v>
      </c>
      <c r="S86" s="39">
        <f t="shared" si="68"/>
        <v>16864.848000000002</v>
      </c>
      <c r="T86" s="35">
        <v>0</v>
      </c>
      <c r="U86" s="39">
        <f t="shared" si="68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341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4"/>
        <v>25827.565674487509</v>
      </c>
      <c r="O87" s="39">
        <f t="shared" si="74"/>
        <v>5869901289.6562548</v>
      </c>
      <c r="P87" s="39">
        <f t="shared" si="67"/>
        <v>30000</v>
      </c>
      <c r="Q87" s="39">
        <f t="shared" si="67"/>
        <v>415</v>
      </c>
      <c r="R87" s="36">
        <v>0.75</v>
      </c>
      <c r="S87" s="39">
        <f t="shared" si="68"/>
        <v>20237.817600000002</v>
      </c>
      <c r="T87" s="35">
        <v>0</v>
      </c>
      <c r="U87" s="39">
        <f t="shared" si="68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341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4"/>
        <v>28410.322241936261</v>
      </c>
      <c r="O88" s="39">
        <f t="shared" si="74"/>
        <v>6456891418.6218805</v>
      </c>
      <c r="P88" s="39">
        <f t="shared" si="67"/>
        <v>30000</v>
      </c>
      <c r="Q88" s="39">
        <f t="shared" si="67"/>
        <v>420</v>
      </c>
      <c r="R88" s="36">
        <v>0.75</v>
      </c>
      <c r="S88" s="39">
        <f t="shared" si="68"/>
        <v>24285.381119999998</v>
      </c>
      <c r="T88" s="35">
        <v>0</v>
      </c>
      <c r="U88" s="39">
        <f t="shared" si="68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368</v>
      </c>
      <c r="B89" s="11" t="s">
        <v>220</v>
      </c>
      <c r="C89" s="12" t="s">
        <v>329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5">N93/10</f>
        <v>296.97937500000006</v>
      </c>
      <c r="O89" s="39">
        <f t="shared" si="75"/>
        <v>67495312.5</v>
      </c>
      <c r="P89" s="39">
        <f t="shared" ref="P89:U89" si="76">P55*1</f>
        <v>30000</v>
      </c>
      <c r="Q89" s="39">
        <f t="shared" si="76"/>
        <v>395</v>
      </c>
      <c r="R89" s="39">
        <f t="shared" si="76"/>
        <v>0.75</v>
      </c>
      <c r="S89" s="39">
        <f t="shared" si="76"/>
        <v>8316</v>
      </c>
      <c r="T89" s="35">
        <v>0</v>
      </c>
      <c r="U89" s="39">
        <f t="shared" si="76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370</v>
      </c>
      <c r="B90" s="11" t="s">
        <v>221</v>
      </c>
      <c r="C90" s="12" t="s">
        <v>329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7">N94/8</f>
        <v>1078.0351312500004</v>
      </c>
      <c r="O90" s="39">
        <f t="shared" si="77"/>
        <v>245007984.37500009</v>
      </c>
      <c r="P90" s="39">
        <f t="shared" ref="P90:U90" si="78">P59*1</f>
        <v>30000</v>
      </c>
      <c r="Q90" s="39">
        <f t="shared" si="78"/>
        <v>415</v>
      </c>
      <c r="R90" s="39">
        <f t="shared" si="78"/>
        <v>0.75</v>
      </c>
      <c r="S90" s="39">
        <f t="shared" si="78"/>
        <v>20237.817600000002</v>
      </c>
      <c r="T90" s="35">
        <v>0</v>
      </c>
      <c r="U90" s="39">
        <f t="shared" si="78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371</v>
      </c>
      <c r="B91" s="11" t="s">
        <v>222</v>
      </c>
      <c r="C91" s="12" t="s">
        <v>329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9">N95/6</f>
        <v>3735.3917297812513</v>
      </c>
      <c r="O91" s="39">
        <f t="shared" si="79"/>
        <v>848952665.85937548</v>
      </c>
      <c r="P91" s="39">
        <f t="shared" ref="P91:U91" si="80">P63*1</f>
        <v>30000</v>
      </c>
      <c r="Q91" s="39">
        <f t="shared" si="80"/>
        <v>435</v>
      </c>
      <c r="R91" s="39">
        <f t="shared" si="80"/>
        <v>0.75</v>
      </c>
      <c r="S91" s="39">
        <f t="shared" si="80"/>
        <v>53039.272366079997</v>
      </c>
      <c r="T91" s="35">
        <v>0</v>
      </c>
      <c r="U91" s="39">
        <f t="shared" si="80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372</v>
      </c>
      <c r="B92" s="11" t="s">
        <v>223</v>
      </c>
      <c r="C92" s="12" t="s">
        <v>329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1">N96/4</f>
        <v>6779.7359895529717</v>
      </c>
      <c r="O92" s="39">
        <f t="shared" si="81"/>
        <v>1540849088.5347669</v>
      </c>
      <c r="P92" s="39">
        <f t="shared" ref="P92:U92" si="82">P69*1</f>
        <v>30000</v>
      </c>
      <c r="Q92" s="39">
        <f t="shared" si="82"/>
        <v>465</v>
      </c>
      <c r="R92" s="39">
        <f t="shared" si="82"/>
        <v>0.75</v>
      </c>
      <c r="S92" s="39">
        <f t="shared" si="82"/>
        <v>234918.99927876794</v>
      </c>
      <c r="T92" s="35">
        <v>0</v>
      </c>
      <c r="U92" s="39">
        <f t="shared" si="82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369</v>
      </c>
      <c r="B93" s="11" t="s">
        <v>224</v>
      </c>
      <c r="C93" s="12" t="s">
        <v>341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3">N81*1.05</f>
        <v>2969.7937500000007</v>
      </c>
      <c r="O93" s="39">
        <f t="shared" si="83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373</v>
      </c>
      <c r="B94" s="11" t="s">
        <v>225</v>
      </c>
      <c r="C94" s="12" t="s">
        <v>341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4">N83*1.05</f>
        <v>8624.2810500000032</v>
      </c>
      <c r="O94" s="39">
        <f t="shared" si="84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374</v>
      </c>
      <c r="B95" s="11" t="s">
        <v>226</v>
      </c>
      <c r="C95" s="12" t="s">
        <v>341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5">N85*1.05</f>
        <v>22412.350378687508</v>
      </c>
      <c r="O95" s="39">
        <f t="shared" si="85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375</v>
      </c>
      <c r="B96" s="11" t="s">
        <v>227</v>
      </c>
      <c r="C96" s="12" t="s">
        <v>341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6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329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7">P4</f>
        <v>100</v>
      </c>
      <c r="Q97" s="39">
        <f t="shared" si="87"/>
        <v>350</v>
      </c>
      <c r="R97" s="39">
        <f t="shared" si="87"/>
        <v>1</v>
      </c>
      <c r="S97" s="39">
        <f t="shared" si="87"/>
        <v>11.000000000000002</v>
      </c>
      <c r="T97" s="35">
        <v>0</v>
      </c>
      <c r="U97" s="39">
        <f t="shared" si="87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327</v>
      </c>
      <c r="B98" s="11" t="s">
        <v>328</v>
      </c>
      <c r="C98" s="12" t="s">
        <v>341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8">P4</f>
        <v>100</v>
      </c>
      <c r="Q98" s="39">
        <f t="shared" si="88"/>
        <v>350</v>
      </c>
      <c r="R98" s="39">
        <f t="shared" si="88"/>
        <v>1</v>
      </c>
      <c r="S98" s="39">
        <f t="shared" si="88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365</v>
      </c>
      <c r="B99" s="11" t="s">
        <v>366</v>
      </c>
      <c r="C99" s="12" t="s">
        <v>341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8"/>
        <v>100</v>
      </c>
      <c r="Q99" s="39">
        <f t="shared" si="88"/>
        <v>355</v>
      </c>
      <c r="R99" s="39">
        <f t="shared" si="88"/>
        <v>1</v>
      </c>
      <c r="S99" s="39">
        <f t="shared" si="88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418</v>
      </c>
      <c r="B100" s="11" t="s">
        <v>379</v>
      </c>
      <c r="C100" s="12" t="s">
        <v>341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419</v>
      </c>
      <c r="B101" s="11" t="s">
        <v>380</v>
      </c>
      <c r="C101" s="12" t="s">
        <v>341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420</v>
      </c>
      <c r="B102" s="11" t="s">
        <v>381</v>
      </c>
      <c r="C102" s="12" t="s">
        <v>341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421</v>
      </c>
      <c r="B103" s="11" t="s">
        <v>382</v>
      </c>
      <c r="C103" s="12" t="s">
        <v>341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415</v>
      </c>
      <c r="B104" s="11" t="s">
        <v>383</v>
      </c>
      <c r="C104" s="12" t="s">
        <v>341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416</v>
      </c>
      <c r="B105" s="11" t="s">
        <v>384</v>
      </c>
      <c r="C105" s="12" t="s">
        <v>341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417</v>
      </c>
      <c r="B106" s="11" t="s">
        <v>385</v>
      </c>
      <c r="C106" s="12" t="s">
        <v>341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422</v>
      </c>
      <c r="B107" s="11" t="s">
        <v>386</v>
      </c>
      <c r="C107" s="12" t="s">
        <v>341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423</v>
      </c>
      <c r="B108" s="11" t="s">
        <v>387</v>
      </c>
      <c r="C108" s="12" t="s">
        <v>341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394</v>
      </c>
      <c r="B109" s="11" t="s">
        <v>395</v>
      </c>
      <c r="C109" s="12" t="s">
        <v>341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397</v>
      </c>
      <c r="B110" s="11" t="s">
        <v>398</v>
      </c>
      <c r="C110" s="12" t="s">
        <v>329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401</v>
      </c>
      <c r="B111" s="11" t="s">
        <v>405</v>
      </c>
      <c r="C111" s="12" t="s">
        <v>341</v>
      </c>
      <c r="F111" s="33">
        <v>500</v>
      </c>
      <c r="I111" s="33">
        <v>500</v>
      </c>
      <c r="J111" s="49">
        <v>0.1</v>
      </c>
      <c r="K111" s="46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53">
        <f t="shared" ref="P111:Y111" si="91">P74</f>
        <v>30000</v>
      </c>
      <c r="Q111" s="53">
        <f t="shared" si="91"/>
        <v>420</v>
      </c>
      <c r="R111" s="53">
        <f t="shared" si="91"/>
        <v>0.75</v>
      </c>
      <c r="S111" s="53">
        <f t="shared" si="91"/>
        <v>24285.381119999998</v>
      </c>
      <c r="T111" s="35">
        <v>0</v>
      </c>
      <c r="U111" s="53">
        <f t="shared" si="91"/>
        <v>200</v>
      </c>
      <c r="V111" s="53">
        <f t="shared" si="91"/>
        <v>500</v>
      </c>
      <c r="W111" s="53">
        <v>20</v>
      </c>
      <c r="X111" s="53">
        <v>4500</v>
      </c>
      <c r="Y111" s="53">
        <f t="shared" si="91"/>
        <v>20</v>
      </c>
      <c r="Z111" s="42">
        <v>500</v>
      </c>
    </row>
    <row r="112" spans="1:26" ht="15" x14ac:dyDescent="0.15">
      <c r="A112" s="50" t="s">
        <v>402</v>
      </c>
      <c r="B112" s="11" t="s">
        <v>406</v>
      </c>
      <c r="C112" s="12" t="s">
        <v>341</v>
      </c>
      <c r="F112" s="33">
        <v>500</v>
      </c>
      <c r="I112" s="33">
        <v>500</v>
      </c>
      <c r="J112" s="49">
        <v>0.1</v>
      </c>
      <c r="K112" s="46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53">
        <f t="shared" ref="P112:Y114" si="93">P111</f>
        <v>30000</v>
      </c>
      <c r="Q112" s="53">
        <f t="shared" si="93"/>
        <v>420</v>
      </c>
      <c r="R112" s="53">
        <f t="shared" si="93"/>
        <v>0.75</v>
      </c>
      <c r="S112" s="53">
        <f t="shared" si="93"/>
        <v>24285.381119999998</v>
      </c>
      <c r="T112" s="35">
        <v>0</v>
      </c>
      <c r="U112" s="53">
        <f t="shared" si="93"/>
        <v>200</v>
      </c>
      <c r="V112" s="53">
        <f t="shared" si="93"/>
        <v>500</v>
      </c>
      <c r="W112" s="53">
        <v>20</v>
      </c>
      <c r="X112" s="53">
        <v>4500</v>
      </c>
      <c r="Y112" s="53">
        <f t="shared" si="93"/>
        <v>20</v>
      </c>
      <c r="Z112" s="42">
        <v>500</v>
      </c>
    </row>
    <row r="113" spans="1:26" ht="15" x14ac:dyDescent="0.15">
      <c r="A113" s="50" t="s">
        <v>403</v>
      </c>
      <c r="B113" s="11" t="s">
        <v>407</v>
      </c>
      <c r="C113" s="12" t="s">
        <v>341</v>
      </c>
      <c r="F113" s="33">
        <v>500</v>
      </c>
      <c r="I113" s="33">
        <v>500</v>
      </c>
      <c r="J113" s="49">
        <v>0.1</v>
      </c>
      <c r="K113" s="46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53">
        <f t="shared" si="93"/>
        <v>30000</v>
      </c>
      <c r="Q113" s="53">
        <f t="shared" si="93"/>
        <v>420</v>
      </c>
      <c r="R113" s="53">
        <f t="shared" si="93"/>
        <v>0.75</v>
      </c>
      <c r="S113" s="53">
        <f t="shared" si="93"/>
        <v>24285.381119999998</v>
      </c>
      <c r="T113" s="35">
        <v>0</v>
      </c>
      <c r="U113" s="53">
        <f t="shared" si="93"/>
        <v>200</v>
      </c>
      <c r="V113" s="53">
        <f t="shared" si="93"/>
        <v>500</v>
      </c>
      <c r="W113" s="53">
        <v>20</v>
      </c>
      <c r="X113" s="53">
        <v>4500</v>
      </c>
      <c r="Y113" s="53">
        <f t="shared" si="93"/>
        <v>20</v>
      </c>
      <c r="Z113" s="42">
        <v>500</v>
      </c>
    </row>
    <row r="114" spans="1:26" ht="15" x14ac:dyDescent="0.15">
      <c r="A114" s="50" t="s">
        <v>404</v>
      </c>
      <c r="B114" s="11" t="s">
        <v>408</v>
      </c>
      <c r="C114" s="12" t="s">
        <v>341</v>
      </c>
      <c r="F114" s="33">
        <v>500</v>
      </c>
      <c r="I114" s="33">
        <v>500</v>
      </c>
      <c r="J114" s="49">
        <v>0.1</v>
      </c>
      <c r="K114" s="46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53">
        <f t="shared" si="93"/>
        <v>30000</v>
      </c>
      <c r="Q114" s="53">
        <f t="shared" si="93"/>
        <v>420</v>
      </c>
      <c r="R114" s="53">
        <f t="shared" si="93"/>
        <v>0.75</v>
      </c>
      <c r="S114" s="53">
        <f t="shared" si="93"/>
        <v>24285.381119999998</v>
      </c>
      <c r="T114" s="35">
        <v>0</v>
      </c>
      <c r="U114" s="53">
        <f t="shared" si="93"/>
        <v>200</v>
      </c>
      <c r="V114" s="53">
        <f t="shared" si="93"/>
        <v>500</v>
      </c>
      <c r="W114" s="53">
        <v>20</v>
      </c>
      <c r="X114" s="53">
        <v>4500</v>
      </c>
      <c r="Y114" s="53">
        <f t="shared" si="93"/>
        <v>20</v>
      </c>
      <c r="Z114" s="42">
        <v>500</v>
      </c>
    </row>
    <row r="115" spans="1:26" ht="15" x14ac:dyDescent="0.15">
      <c r="A115" s="27" t="s">
        <v>445</v>
      </c>
      <c r="B115" s="11" t="s">
        <v>440</v>
      </c>
      <c r="C115" s="12" t="s">
        <v>341</v>
      </c>
      <c r="E115" s="15"/>
      <c r="F115" s="33">
        <v>500</v>
      </c>
      <c r="G115" s="42"/>
      <c r="H115" s="42"/>
      <c r="I115" s="33">
        <v>500</v>
      </c>
      <c r="J115" s="49">
        <v>0.1</v>
      </c>
      <c r="K115" s="46"/>
      <c r="L115" s="34"/>
      <c r="M115" s="39">
        <f>M88*1.05</f>
        <v>3389867994.7764874</v>
      </c>
      <c r="N115" s="39">
        <f>N88*1.2</f>
        <v>34092.38669032351</v>
      </c>
      <c r="O115" s="39">
        <f>O88*1.05</f>
        <v>6779735989.5529747</v>
      </c>
      <c r="P115" s="39">
        <f t="shared" ref="P115:Q115" si="97">P87*1</f>
        <v>30000</v>
      </c>
      <c r="Q115" s="39">
        <f t="shared" si="97"/>
        <v>415</v>
      </c>
      <c r="R115" s="36">
        <v>0.75</v>
      </c>
      <c r="S115" s="39">
        <f t="shared" ref="S115:U115" si="98">S87*1</f>
        <v>20237.817600000002</v>
      </c>
      <c r="T115" s="35">
        <v>0</v>
      </c>
      <c r="U115" s="39">
        <f t="shared" si="98"/>
        <v>200</v>
      </c>
      <c r="V115" s="39">
        <v>550</v>
      </c>
      <c r="W115" s="42">
        <v>20</v>
      </c>
      <c r="X115" s="42">
        <v>18000</v>
      </c>
      <c r="Y115" s="42">
        <v>20</v>
      </c>
      <c r="Z115" s="42">
        <v>500</v>
      </c>
    </row>
    <row r="116" spans="1:26" ht="15" x14ac:dyDescent="0.15">
      <c r="A116" s="52" t="s">
        <v>443</v>
      </c>
      <c r="B116" s="11" t="s">
        <v>444</v>
      </c>
      <c r="C116" s="12" t="s">
        <v>341</v>
      </c>
      <c r="F116" s="33">
        <v>500</v>
      </c>
      <c r="I116" s="33">
        <v>500</v>
      </c>
      <c r="J116" s="49">
        <v>0.1</v>
      </c>
      <c r="K116" s="46"/>
      <c r="M116">
        <v>1398305511.4746099</v>
      </c>
      <c r="N116">
        <v>11328.2746429443</v>
      </c>
      <c r="O116">
        <v>2796611022.9492197</v>
      </c>
      <c r="P116" s="39">
        <v>30000</v>
      </c>
      <c r="Q116" s="39">
        <v>350</v>
      </c>
      <c r="R116" s="36">
        <v>0.75</v>
      </c>
      <c r="S116" s="39">
        <v>1600</v>
      </c>
      <c r="T116" s="35">
        <v>0</v>
      </c>
      <c r="U116" s="39">
        <v>200</v>
      </c>
      <c r="V116" s="39">
        <v>100</v>
      </c>
      <c r="W116" s="42">
        <v>20</v>
      </c>
      <c r="X116" s="42">
        <v>3600</v>
      </c>
      <c r="Y116" s="42">
        <v>0</v>
      </c>
      <c r="Z116" s="42">
        <v>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37:N38 N33 N11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2019-07-30T18:07:47Z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