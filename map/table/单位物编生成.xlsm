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858CCBF1-7A18-4038-8214-D166F211EB95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49" i="29" l="1"/>
  <c r="M49" i="29"/>
  <c r="L49" i="29"/>
  <c r="N48" i="29"/>
  <c r="M48" i="29"/>
  <c r="L48" i="29"/>
  <c r="M37" i="29" l="1"/>
  <c r="N37" i="29"/>
  <c r="L37" i="29"/>
  <c r="L5" i="29"/>
  <c r="N5" i="29" s="1"/>
  <c r="M47" i="29" l="1"/>
  <c r="N47" i="29"/>
  <c r="L47" i="29"/>
  <c r="N6" i="29" l="1"/>
  <c r="N7" i="29" s="1"/>
  <c r="N8" i="29" s="1"/>
  <c r="N9" i="29" s="1"/>
  <c r="N10" i="29" s="1"/>
  <c r="N11" i="29" s="1"/>
  <c r="N12" i="29" s="1"/>
  <c r="N13" i="29" s="1"/>
  <c r="M13" i="29"/>
  <c r="M6" i="29"/>
  <c r="M7" i="29" s="1"/>
  <c r="M8" i="29" s="1"/>
  <c r="M9" i="29" s="1"/>
  <c r="M10" i="29" s="1"/>
  <c r="M11" i="29" s="1"/>
  <c r="M12" i="29" s="1"/>
  <c r="M5" i="29"/>
  <c r="L6" i="29"/>
  <c r="L7" i="29" l="1"/>
  <c r="L8" i="29" s="1"/>
  <c r="L9" i="29" s="1"/>
  <c r="L10" i="29" s="1"/>
  <c r="L11" i="29" s="1"/>
  <c r="L12" i="29" s="1"/>
  <c r="L13" i="29" s="1"/>
  <c r="L55" i="29" s="1"/>
  <c r="L73" i="29" s="1"/>
  <c r="Y98" i="29"/>
  <c r="X98" i="29"/>
  <c r="W98" i="29"/>
  <c r="V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P79" i="29"/>
  <c r="O79" i="29"/>
  <c r="P78" i="29"/>
  <c r="T77" i="29"/>
  <c r="P77" i="29"/>
  <c r="M77" i="29"/>
  <c r="L77" i="29"/>
  <c r="U76" i="29"/>
  <c r="T75" i="29"/>
  <c r="M75" i="29"/>
  <c r="O74" i="29"/>
  <c r="N74" i="29"/>
  <c r="T73" i="29"/>
  <c r="P73" i="29"/>
  <c r="U72" i="29"/>
  <c r="S72" i="29"/>
  <c r="O71" i="29"/>
  <c r="M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M89" i="29" s="1"/>
  <c r="U54" i="29"/>
  <c r="T54" i="29"/>
  <c r="T82" i="29" s="1"/>
  <c r="S54" i="29"/>
  <c r="P54" i="29"/>
  <c r="P82" i="29" s="1"/>
  <c r="O54" i="29"/>
  <c r="M54" i="29"/>
  <c r="M81" i="29" s="1"/>
  <c r="U53" i="29"/>
  <c r="U81" i="29" s="1"/>
  <c r="T53" i="29"/>
  <c r="T81" i="29" s="1"/>
  <c r="P53" i="29"/>
  <c r="P81" i="29" s="1"/>
  <c r="O53" i="29"/>
  <c r="O81" i="29" s="1"/>
  <c r="M53" i="29"/>
  <c r="M76" i="29" s="1"/>
  <c r="U52" i="29"/>
  <c r="T52" i="29"/>
  <c r="T80" i="29" s="1"/>
  <c r="S52" i="29"/>
  <c r="P52" i="29"/>
  <c r="P80" i="29" s="1"/>
  <c r="O52" i="29"/>
  <c r="O80" i="29" s="1"/>
  <c r="M52" i="29"/>
  <c r="M80" i="29" s="1"/>
  <c r="U51" i="29"/>
  <c r="T51" i="29"/>
  <c r="T72" i="29" s="1"/>
  <c r="S51" i="29"/>
  <c r="P51" i="29"/>
  <c r="P72" i="29" s="1"/>
  <c r="O51" i="29"/>
  <c r="O72" i="29" s="1"/>
  <c r="M51" i="29"/>
  <c r="M72" i="29" s="1"/>
  <c r="U50" i="29"/>
  <c r="U79" i="29" s="1"/>
  <c r="T50" i="29"/>
  <c r="T79" i="29" s="1"/>
  <c r="P50" i="29"/>
  <c r="O50" i="29"/>
  <c r="M50" i="29"/>
  <c r="M79" i="29" s="1"/>
  <c r="U49" i="29"/>
  <c r="U75" i="29" s="1"/>
  <c r="T49" i="29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L71" i="29"/>
  <c r="U47" i="29"/>
  <c r="T47" i="29"/>
  <c r="P47" i="29"/>
  <c r="O47" i="29"/>
  <c r="U46" i="29"/>
  <c r="T46" i="29"/>
  <c r="P46" i="29"/>
  <c r="O46" i="29"/>
  <c r="M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M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U38" i="29"/>
  <c r="T38" i="29"/>
  <c r="Q38" i="29"/>
  <c r="P38" i="29"/>
  <c r="O38" i="29"/>
  <c r="M38" i="29"/>
  <c r="L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L30" i="29"/>
  <c r="U29" i="29"/>
  <c r="S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30" i="29"/>
  <c r="R30" i="29" s="1"/>
  <c r="S12" i="29"/>
  <c r="S11" i="29"/>
  <c r="S53" i="29" s="1"/>
  <c r="S10" i="29"/>
  <c r="S38" i="29" s="1"/>
  <c r="R10" i="29"/>
  <c r="S9" i="29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L39" i="29" l="1"/>
  <c r="L75" i="29"/>
  <c r="L50" i="29"/>
  <c r="L79" i="29" s="1"/>
  <c r="L51" i="29"/>
  <c r="L72" i="29" s="1"/>
  <c r="L52" i="29"/>
  <c r="L80" i="29" s="1"/>
  <c r="L29" i="29"/>
  <c r="L43" i="29"/>
  <c r="L53" i="29"/>
  <c r="L76" i="29" s="1"/>
  <c r="L54" i="29"/>
  <c r="L81" i="29" s="1"/>
  <c r="N54" i="29"/>
  <c r="N81" i="29" s="1"/>
  <c r="R4" i="29"/>
  <c r="R35" i="29" s="1"/>
  <c r="N29" i="29"/>
  <c r="R29" i="29" s="1"/>
  <c r="N53" i="29"/>
  <c r="N76" i="29" s="1"/>
  <c r="M73" i="29"/>
  <c r="N52" i="29"/>
  <c r="N80" i="29" s="1"/>
  <c r="N38" i="29"/>
  <c r="N50" i="29"/>
  <c r="N79" i="29" s="1"/>
  <c r="R6" i="29"/>
  <c r="R48" i="29" s="1"/>
  <c r="R71" i="29" s="1"/>
  <c r="L89" i="29"/>
  <c r="N71" i="29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41" i="29"/>
  <c r="S60" i="29"/>
  <c r="N68" i="29"/>
  <c r="N88" i="29" s="1"/>
  <c r="T96" i="29"/>
  <c r="T92" i="29"/>
  <c r="L84" i="29"/>
  <c r="O90" i="29"/>
  <c r="R5" i="29"/>
  <c r="R47" i="29" s="1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70" i="29"/>
  <c r="P89" i="29"/>
  <c r="P83" i="29"/>
  <c r="T76" i="29"/>
  <c r="T87" i="29"/>
  <c r="R88" i="29"/>
  <c r="R74" i="29"/>
  <c r="N51" i="29"/>
  <c r="N72" i="29" s="1"/>
  <c r="R9" i="29"/>
  <c r="R51" i="29" s="1"/>
  <c r="R72" i="29" s="1"/>
  <c r="R14" i="29"/>
  <c r="R97" i="29"/>
  <c r="N65" i="29"/>
  <c r="N95" i="29" s="1"/>
  <c r="R23" i="29"/>
  <c r="S43" i="29"/>
  <c r="N58" i="29"/>
  <c r="N63" i="29"/>
  <c r="N91" i="29" s="1"/>
  <c r="R21" i="29"/>
  <c r="R63" i="29" s="1"/>
  <c r="R91" i="29" s="1"/>
  <c r="R42" i="29"/>
  <c r="N75" i="29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S58" i="29"/>
  <c r="P90" i="29"/>
  <c r="U73" i="29"/>
  <c r="N43" i="29" l="1"/>
  <c r="N39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6" i="29"/>
  <c r="R92" i="29"/>
  <c r="R65" i="29"/>
  <c r="R95" i="29" s="1"/>
  <c r="R45" i="29"/>
  <c r="N96" i="29"/>
  <c r="N92" i="29"/>
  <c r="R93" i="29"/>
  <c r="R85" i="29"/>
  <c r="R89" i="29"/>
  <c r="R73" i="29"/>
  <c r="R83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  <c r="R81" i="29" l="1"/>
  <c r="R39" i="29"/>
</calcChain>
</file>

<file path=xl/sharedStrings.xml><?xml version="1.0" encoding="utf-8"?>
<sst xmlns="http://schemas.openxmlformats.org/spreadsheetml/2006/main" count="775" uniqueCount="388">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</sst>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28" activePane="bottomRight" state="frozen"/>
      <selection pane="topRight"/>
      <selection pane="bottomLeft"/>
      <selection pane="bottomRight" activeCell="A48" sqref="A48:XFD48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380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352</v>
      </c>
      <c r="C4" s="31" t="s">
        <v>349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350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378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377</v>
      </c>
      <c r="B34" s="11" t="s">
        <v>136</v>
      </c>
      <c r="C34" s="30" t="s">
        <v>383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383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1.5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2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258</v>
      </c>
      <c r="B43" s="11" t="s">
        <v>379</v>
      </c>
      <c r="C43" s="30" t="s">
        <v>351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351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351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1.5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2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0.6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2.2999999999999998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0.6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2.5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2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1.8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1.4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1.5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2.2000000000000002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2.2000000000000002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384</v>
      </c>
      <c r="D58" s="3" t="s">
        <v>321</v>
      </c>
      <c r="E58" s="2"/>
      <c r="F58" s="2"/>
      <c r="G58" s="3">
        <v>1.5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1.5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385</v>
      </c>
      <c r="F60" s="2"/>
      <c r="G60" s="3">
        <v>1.6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386</v>
      </c>
      <c r="F61" s="2"/>
      <c r="G61" s="3">
        <v>2.2000000000000002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384</v>
      </c>
      <c r="D62" s="3" t="s">
        <v>323</v>
      </c>
      <c r="F62" s="2"/>
      <c r="G62" s="3">
        <v>1.1000000000000001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324</v>
      </c>
      <c r="F63" s="2"/>
      <c r="G63" s="3">
        <v>0.5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325</v>
      </c>
      <c r="F64" s="2"/>
      <c r="G64" s="3">
        <v>0.5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326</v>
      </c>
      <c r="F65" s="2"/>
      <c r="G65" s="3">
        <v>2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327</v>
      </c>
      <c r="F71" s="2"/>
      <c r="G71" s="3">
        <v>1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1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1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328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329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330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331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332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333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334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335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336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337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338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339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373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340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341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342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343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344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345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346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347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348</v>
      </c>
      <c r="G97" s="3">
        <v>1</v>
      </c>
      <c r="I97" s="3">
        <v>20</v>
      </c>
    </row>
    <row r="98" spans="1:9" ht="15" x14ac:dyDescent="0.15">
      <c r="A98" s="3" t="s">
        <v>353</v>
      </c>
      <c r="B98" s="11" t="s">
        <v>354</v>
      </c>
      <c r="C98" s="30" t="s">
        <v>45</v>
      </c>
      <c r="D98" s="26" t="s">
        <v>387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7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abSelected="1" workbookViewId="0">
      <pane ySplit="3" topLeftCell="A34" activePane="bottomLeft" state="frozen"/>
      <selection activeCell="D1" sqref="D1"/>
      <selection pane="bottomLeft" activeCell="K58" sqref="K58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362</v>
      </c>
      <c r="L1" s="12" t="s">
        <v>372</v>
      </c>
      <c r="M1" s="12" t="s">
        <v>372</v>
      </c>
      <c r="N1" s="12" t="s">
        <v>372</v>
      </c>
      <c r="O1" s="12" t="s">
        <v>372</v>
      </c>
      <c r="P1" s="12" t="s">
        <v>372</v>
      </c>
      <c r="Q1" s="12" t="s">
        <v>372</v>
      </c>
      <c r="R1" s="12" t="s">
        <v>372</v>
      </c>
      <c r="S1" s="12" t="s">
        <v>372</v>
      </c>
      <c r="T1" s="12" t="s">
        <v>372</v>
      </c>
      <c r="U1" s="12" t="s">
        <v>372</v>
      </c>
      <c r="V1" s="12" t="s">
        <v>372</v>
      </c>
      <c r="W1" s="12" t="s">
        <v>372</v>
      </c>
      <c r="X1" s="12" t="s">
        <v>372</v>
      </c>
      <c r="Y1" s="12" t="s">
        <v>372</v>
      </c>
      <c r="Z1" s="6" t="s">
        <v>363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356</v>
      </c>
      <c r="H2" s="13" t="s">
        <v>357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374</v>
      </c>
      <c r="D3" s="1" t="s">
        <v>219</v>
      </c>
      <c r="E3" s="23" t="s">
        <v>198</v>
      </c>
      <c r="F3" s="7" t="s">
        <v>187</v>
      </c>
      <c r="G3" s="8" t="s">
        <v>358</v>
      </c>
      <c r="H3" s="8" t="s">
        <v>359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381</v>
      </c>
      <c r="W3" s="42" t="s">
        <v>382</v>
      </c>
      <c r="X3" s="42" t="s">
        <v>360</v>
      </c>
      <c r="Y3" s="42" t="s">
        <v>361</v>
      </c>
    </row>
    <row r="4" spans="1:26" ht="15" x14ac:dyDescent="0.15">
      <c r="A4" s="30" t="s">
        <v>36</v>
      </c>
      <c r="B4" s="11" t="s">
        <v>352</v>
      </c>
      <c r="C4" s="12" t="s">
        <v>355</v>
      </c>
      <c r="D4" s="13"/>
      <c r="E4" s="13">
        <v>1</v>
      </c>
      <c r="F4" s="37">
        <v>500</v>
      </c>
      <c r="G4" s="37"/>
      <c r="H4" s="37"/>
      <c r="I4" s="37">
        <v>500</v>
      </c>
      <c r="J4" s="50" t="s">
        <v>364</v>
      </c>
      <c r="K4" s="38"/>
      <c r="L4" s="39">
        <v>20000</v>
      </c>
      <c r="M4" s="39">
        <v>5</v>
      </c>
      <c r="N4" s="39">
        <f t="shared" ref="N4:N28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355</v>
      </c>
      <c r="D5" s="7"/>
      <c r="E5" s="7">
        <v>2</v>
      </c>
      <c r="F5" s="37">
        <v>500</v>
      </c>
      <c r="G5" s="37"/>
      <c r="H5" s="37"/>
      <c r="I5" s="37">
        <v>500</v>
      </c>
      <c r="J5" s="50" t="s">
        <v>365</v>
      </c>
      <c r="K5" s="38"/>
      <c r="L5" s="39">
        <f>L4*10</f>
        <v>200000</v>
      </c>
      <c r="M5" s="39">
        <f>M4*2</f>
        <v>10</v>
      </c>
      <c r="N5" s="39">
        <f>L5*5</f>
        <v>1000000</v>
      </c>
      <c r="O5" s="39">
        <v>100</v>
      </c>
      <c r="P5" s="39">
        <v>350</v>
      </c>
      <c r="Q5" s="40">
        <v>1</v>
      </c>
      <c r="R5" s="39">
        <f t="shared" si="1"/>
        <v>100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355</v>
      </c>
      <c r="D6" s="7"/>
      <c r="E6" s="13">
        <v>3</v>
      </c>
      <c r="F6" s="37">
        <v>500</v>
      </c>
      <c r="G6" s="37"/>
      <c r="H6" s="37"/>
      <c r="I6" s="37">
        <v>500</v>
      </c>
      <c r="J6" s="50">
        <v>0.05</v>
      </c>
      <c r="K6" s="38"/>
      <c r="L6" s="39">
        <f t="shared" ref="L6:L13" si="3">L5*2</f>
        <v>400000</v>
      </c>
      <c r="M6" s="39">
        <f t="shared" ref="M6:M13" si="4">M5*2</f>
        <v>20</v>
      </c>
      <c r="N6" s="39">
        <f>N5*2</f>
        <v>2000000</v>
      </c>
      <c r="O6" s="39">
        <v>100</v>
      </c>
      <c r="P6" s="39">
        <v>350</v>
      </c>
      <c r="Q6" s="40">
        <v>1</v>
      </c>
      <c r="R6" s="39">
        <f t="shared" si="1"/>
        <v>200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355</v>
      </c>
      <c r="D7" s="7"/>
      <c r="E7" s="7">
        <v>4</v>
      </c>
      <c r="F7" s="37">
        <v>500</v>
      </c>
      <c r="G7" s="37"/>
      <c r="H7" s="37"/>
      <c r="I7" s="37">
        <v>500</v>
      </c>
      <c r="J7" s="50" t="s">
        <v>366</v>
      </c>
      <c r="K7" s="38"/>
      <c r="L7" s="39">
        <f t="shared" si="3"/>
        <v>800000</v>
      </c>
      <c r="M7" s="39">
        <f t="shared" si="4"/>
        <v>40</v>
      </c>
      <c r="N7" s="39">
        <f t="shared" ref="N7:N13" si="5">N6*2</f>
        <v>4000000</v>
      </c>
      <c r="O7" s="39">
        <v>1000</v>
      </c>
      <c r="P7" s="39">
        <v>350</v>
      </c>
      <c r="Q7" s="40">
        <v>1</v>
      </c>
      <c r="R7" s="39">
        <f t="shared" si="1"/>
        <v>400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355</v>
      </c>
      <c r="D8" s="7"/>
      <c r="E8" s="13">
        <v>5</v>
      </c>
      <c r="F8" s="37">
        <v>500</v>
      </c>
      <c r="G8" s="37"/>
      <c r="H8" s="37"/>
      <c r="I8" s="37">
        <v>500</v>
      </c>
      <c r="J8" s="50" t="s">
        <v>367</v>
      </c>
      <c r="K8" s="38"/>
      <c r="L8" s="39">
        <f t="shared" si="3"/>
        <v>1600000</v>
      </c>
      <c r="M8" s="39">
        <f t="shared" si="4"/>
        <v>80</v>
      </c>
      <c r="N8" s="39">
        <f t="shared" si="5"/>
        <v>8000000</v>
      </c>
      <c r="O8" s="39">
        <v>1000</v>
      </c>
      <c r="P8" s="39">
        <v>350</v>
      </c>
      <c r="Q8" s="40">
        <v>1</v>
      </c>
      <c r="R8" s="39">
        <f t="shared" si="1"/>
        <v>800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355</v>
      </c>
      <c r="D9" s="7"/>
      <c r="E9" s="7">
        <v>6</v>
      </c>
      <c r="F9" s="37">
        <v>500</v>
      </c>
      <c r="G9" s="37"/>
      <c r="H9" s="37"/>
      <c r="I9" s="37">
        <v>500</v>
      </c>
      <c r="J9" s="50">
        <v>0.1</v>
      </c>
      <c r="K9" s="38"/>
      <c r="L9" s="39">
        <f t="shared" si="3"/>
        <v>3200000</v>
      </c>
      <c r="M9" s="39">
        <f t="shared" si="4"/>
        <v>160</v>
      </c>
      <c r="N9" s="39">
        <f t="shared" si="5"/>
        <v>16000000</v>
      </c>
      <c r="O9" s="39">
        <v>10000</v>
      </c>
      <c r="P9" s="39">
        <v>350</v>
      </c>
      <c r="Q9" s="40">
        <v>1</v>
      </c>
      <c r="R9" s="39">
        <f t="shared" si="1"/>
        <v>1600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355</v>
      </c>
      <c r="D10" s="7"/>
      <c r="E10" s="13">
        <v>7</v>
      </c>
      <c r="F10" s="37">
        <v>500</v>
      </c>
      <c r="G10" s="37"/>
      <c r="H10" s="37"/>
      <c r="I10" s="37">
        <v>500</v>
      </c>
      <c r="J10" s="50" t="s">
        <v>368</v>
      </c>
      <c r="K10" s="38"/>
      <c r="L10" s="39">
        <f t="shared" si="3"/>
        <v>6400000</v>
      </c>
      <c r="M10" s="39">
        <f t="shared" si="4"/>
        <v>320</v>
      </c>
      <c r="N10" s="39">
        <f t="shared" si="5"/>
        <v>32000000</v>
      </c>
      <c r="O10" s="39">
        <v>10000</v>
      </c>
      <c r="P10" s="39">
        <v>350</v>
      </c>
      <c r="Q10" s="40">
        <v>1</v>
      </c>
      <c r="R10" s="39">
        <f t="shared" si="1"/>
        <v>3200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355</v>
      </c>
      <c r="D11" s="7"/>
      <c r="E11" s="7">
        <v>8</v>
      </c>
      <c r="F11" s="37">
        <v>500</v>
      </c>
      <c r="G11" s="37"/>
      <c r="H11" s="37"/>
      <c r="I11" s="37">
        <v>500</v>
      </c>
      <c r="J11" s="50" t="s">
        <v>369</v>
      </c>
      <c r="K11" s="38"/>
      <c r="L11" s="39">
        <f t="shared" si="3"/>
        <v>12800000</v>
      </c>
      <c r="M11" s="39">
        <f t="shared" si="4"/>
        <v>640</v>
      </c>
      <c r="N11" s="39">
        <f t="shared" si="5"/>
        <v>64000000</v>
      </c>
      <c r="O11" s="39">
        <v>10000</v>
      </c>
      <c r="P11" s="39">
        <v>350</v>
      </c>
      <c r="Q11" s="40">
        <v>1</v>
      </c>
      <c r="R11" s="39">
        <f t="shared" si="1"/>
        <v>6400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355</v>
      </c>
      <c r="D12" s="7"/>
      <c r="E12" s="13">
        <v>9</v>
      </c>
      <c r="F12" s="37">
        <v>500</v>
      </c>
      <c r="G12" s="37"/>
      <c r="H12" s="37"/>
      <c r="I12" s="37">
        <v>500</v>
      </c>
      <c r="J12" s="50">
        <v>0.15</v>
      </c>
      <c r="K12" s="38"/>
      <c r="L12" s="39">
        <f t="shared" si="3"/>
        <v>25600000</v>
      </c>
      <c r="M12" s="39">
        <f t="shared" si="4"/>
        <v>1280</v>
      </c>
      <c r="N12" s="39">
        <f t="shared" si="5"/>
        <v>128000000</v>
      </c>
      <c r="O12" s="39">
        <v>10000</v>
      </c>
      <c r="P12" s="39">
        <v>350</v>
      </c>
      <c r="Q12" s="40">
        <v>1</v>
      </c>
      <c r="R12" s="39">
        <f t="shared" si="1"/>
        <v>12800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355</v>
      </c>
      <c r="D13" s="7"/>
      <c r="E13" s="7">
        <v>10</v>
      </c>
      <c r="F13" s="37">
        <v>500</v>
      </c>
      <c r="G13" s="37"/>
      <c r="H13" s="37"/>
      <c r="I13" s="37">
        <v>500</v>
      </c>
      <c r="J13" s="50" t="s">
        <v>371</v>
      </c>
      <c r="K13" s="38"/>
      <c r="L13" s="39">
        <f t="shared" si="3"/>
        <v>51200000</v>
      </c>
      <c r="M13" s="39">
        <f t="shared" si="4"/>
        <v>2560</v>
      </c>
      <c r="N13" s="39">
        <f t="shared" si="5"/>
        <v>256000000</v>
      </c>
      <c r="O13" s="39">
        <v>10000</v>
      </c>
      <c r="P13" s="39">
        <v>350</v>
      </c>
      <c r="Q13" s="40">
        <v>1</v>
      </c>
      <c r="R13" s="39">
        <f t="shared" si="1"/>
        <v>25600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355</v>
      </c>
      <c r="D14" s="7"/>
      <c r="E14" s="13">
        <v>11</v>
      </c>
      <c r="F14" s="37">
        <v>500</v>
      </c>
      <c r="G14" s="37"/>
      <c r="H14" s="37"/>
      <c r="I14" s="37">
        <v>500</v>
      </c>
      <c r="J14" s="50" t="s">
        <v>371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355</v>
      </c>
      <c r="D15" s="7"/>
      <c r="E15" s="7">
        <v>12</v>
      </c>
      <c r="F15" s="37">
        <v>500</v>
      </c>
      <c r="G15" s="37"/>
      <c r="H15" s="37"/>
      <c r="I15" s="37">
        <v>500</v>
      </c>
      <c r="J15" s="50" t="s">
        <v>370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355</v>
      </c>
      <c r="D16" s="7"/>
      <c r="E16" s="13">
        <v>13</v>
      </c>
      <c r="F16" s="37">
        <v>500</v>
      </c>
      <c r="G16" s="37"/>
      <c r="H16" s="37"/>
      <c r="I16" s="37">
        <v>500</v>
      </c>
      <c r="J16" s="50" t="s">
        <v>370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355</v>
      </c>
      <c r="D17" s="7"/>
      <c r="E17" s="7">
        <v>14</v>
      </c>
      <c r="F17" s="37">
        <v>500</v>
      </c>
      <c r="G17" s="37"/>
      <c r="H17" s="37"/>
      <c r="I17" s="37">
        <v>500</v>
      </c>
      <c r="J17" s="50" t="s">
        <v>370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355</v>
      </c>
      <c r="D18" s="7"/>
      <c r="E18" s="13">
        <v>15</v>
      </c>
      <c r="F18" s="37">
        <v>500</v>
      </c>
      <c r="G18" s="37"/>
      <c r="H18" s="37"/>
      <c r="I18" s="37">
        <v>500</v>
      </c>
      <c r="J18" s="50" t="s">
        <v>370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355</v>
      </c>
      <c r="D19" s="7"/>
      <c r="E19" s="7">
        <v>16</v>
      </c>
      <c r="F19" s="37">
        <v>500</v>
      </c>
      <c r="G19" s="37"/>
      <c r="H19" s="37"/>
      <c r="I19" s="37">
        <v>500</v>
      </c>
      <c r="J19" s="50" t="s">
        <v>370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355</v>
      </c>
      <c r="D20" s="7"/>
      <c r="E20" s="13">
        <v>17</v>
      </c>
      <c r="F20" s="37">
        <v>500</v>
      </c>
      <c r="G20" s="37"/>
      <c r="H20" s="37"/>
      <c r="I20" s="37">
        <v>500</v>
      </c>
      <c r="J20" s="50" t="s">
        <v>370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355</v>
      </c>
      <c r="D21" s="7"/>
      <c r="E21" s="7">
        <v>18</v>
      </c>
      <c r="F21" s="37">
        <v>500</v>
      </c>
      <c r="G21" s="37"/>
      <c r="H21" s="37"/>
      <c r="I21" s="37">
        <v>500</v>
      </c>
      <c r="J21" s="50" t="s">
        <v>370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355</v>
      </c>
      <c r="D22" s="7"/>
      <c r="E22" s="13">
        <v>19</v>
      </c>
      <c r="F22" s="37">
        <v>500</v>
      </c>
      <c r="G22" s="37"/>
      <c r="H22" s="37"/>
      <c r="I22" s="37">
        <v>500</v>
      </c>
      <c r="J22" s="50" t="s">
        <v>370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355</v>
      </c>
      <c r="D23" s="7"/>
      <c r="E23" s="7">
        <v>20</v>
      </c>
      <c r="F23" s="37">
        <v>500</v>
      </c>
      <c r="G23" s="37"/>
      <c r="H23" s="37"/>
      <c r="I23" s="37">
        <v>500</v>
      </c>
      <c r="J23" s="50" t="s">
        <v>370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355</v>
      </c>
      <c r="D24" s="7"/>
      <c r="E24" s="13">
        <v>21</v>
      </c>
      <c r="F24" s="37">
        <v>500</v>
      </c>
      <c r="G24" s="37"/>
      <c r="H24" s="37"/>
      <c r="I24" s="37">
        <v>500</v>
      </c>
      <c r="J24" s="50" t="s">
        <v>370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355</v>
      </c>
      <c r="D25" s="7"/>
      <c r="E25" s="7">
        <v>22</v>
      </c>
      <c r="F25" s="37">
        <v>500</v>
      </c>
      <c r="G25" s="37"/>
      <c r="H25" s="37"/>
      <c r="I25" s="37">
        <v>500</v>
      </c>
      <c r="J25" s="50" t="s">
        <v>370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355</v>
      </c>
      <c r="D26" s="7"/>
      <c r="E26" s="13">
        <v>23</v>
      </c>
      <c r="F26" s="37">
        <v>500</v>
      </c>
      <c r="G26" s="37"/>
      <c r="H26" s="37"/>
      <c r="I26" s="37">
        <v>500</v>
      </c>
      <c r="J26" s="50" t="s">
        <v>370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355</v>
      </c>
      <c r="D27" s="7"/>
      <c r="E27" s="7">
        <v>24</v>
      </c>
      <c r="F27" s="37">
        <v>500</v>
      </c>
      <c r="G27" s="37"/>
      <c r="H27" s="37"/>
      <c r="I27" s="37">
        <v>500</v>
      </c>
      <c r="J27" s="50" t="s">
        <v>370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355</v>
      </c>
      <c r="D28" s="7"/>
      <c r="E28" s="13">
        <v>25</v>
      </c>
      <c r="F28" s="37">
        <v>500</v>
      </c>
      <c r="G28" s="37"/>
      <c r="H28" s="37"/>
      <c r="I28" s="37">
        <v>500</v>
      </c>
      <c r="J28" s="50" t="s">
        <v>370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375</v>
      </c>
      <c r="D29" s="7"/>
      <c r="E29" s="37">
        <v>5</v>
      </c>
      <c r="F29" s="37">
        <v>500</v>
      </c>
      <c r="G29" s="37"/>
      <c r="H29" s="37"/>
      <c r="I29" s="37">
        <v>500</v>
      </c>
      <c r="J29" s="50">
        <v>100</v>
      </c>
      <c r="K29" s="38"/>
      <c r="L29" s="7">
        <f>L8*5</f>
        <v>8000000</v>
      </c>
      <c r="M29" s="7">
        <v>250</v>
      </c>
      <c r="N29" s="7">
        <f>N8*5</f>
        <v>40000000</v>
      </c>
      <c r="O29" s="39">
        <v>10000</v>
      </c>
      <c r="P29" s="7">
        <v>400</v>
      </c>
      <c r="Q29" s="40">
        <v>1</v>
      </c>
      <c r="R29" s="39">
        <f t="shared" si="1"/>
        <v>4000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375</v>
      </c>
      <c r="D30" s="7"/>
      <c r="E30" s="37">
        <v>10</v>
      </c>
      <c r="F30" s="37">
        <v>500</v>
      </c>
      <c r="G30" s="37"/>
      <c r="H30" s="37"/>
      <c r="I30" s="37">
        <v>500</v>
      </c>
      <c r="J30" s="50">
        <v>100</v>
      </c>
      <c r="K30" s="38"/>
      <c r="L30" s="7">
        <f>L13*5</f>
        <v>256000000</v>
      </c>
      <c r="M30" s="7">
        <v>12500</v>
      </c>
      <c r="N30" s="7">
        <f>N13*5</f>
        <v>1280000000</v>
      </c>
      <c r="O30" s="39">
        <v>10000</v>
      </c>
      <c r="P30" s="7">
        <v>400</v>
      </c>
      <c r="Q30" s="40">
        <v>0.9</v>
      </c>
      <c r="R30" s="39">
        <f t="shared" si="1"/>
        <v>128000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375</v>
      </c>
      <c r="D31" s="7"/>
      <c r="E31" s="37">
        <v>15</v>
      </c>
      <c r="F31" s="37">
        <v>500</v>
      </c>
      <c r="G31" s="37"/>
      <c r="H31" s="37"/>
      <c r="I31" s="37">
        <v>500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375</v>
      </c>
      <c r="D32" s="7"/>
      <c r="E32" s="37">
        <v>20</v>
      </c>
      <c r="F32" s="37">
        <v>500</v>
      </c>
      <c r="G32" s="37"/>
      <c r="H32" s="37"/>
      <c r="I32" s="37">
        <v>500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375</v>
      </c>
      <c r="D33" s="7"/>
      <c r="E33" s="37">
        <v>25</v>
      </c>
      <c r="F33" s="37">
        <v>500</v>
      </c>
      <c r="G33" s="37"/>
      <c r="H33" s="37"/>
      <c r="I33" s="37">
        <v>500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375</v>
      </c>
      <c r="D34" s="7"/>
      <c r="E34" s="7"/>
      <c r="F34" s="37">
        <v>500</v>
      </c>
      <c r="G34" s="37"/>
      <c r="H34" s="37"/>
      <c r="I34" s="37">
        <v>500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355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v>50</v>
      </c>
      <c r="M35" s="43">
        <v>1</v>
      </c>
      <c r="N35" s="43">
        <v>2500</v>
      </c>
      <c r="O35" s="43">
        <f t="shared" ref="O35:U35" si="6">O4</f>
        <v>100</v>
      </c>
      <c r="P35" s="43">
        <f t="shared" si="6"/>
        <v>350</v>
      </c>
      <c r="Q35" s="44">
        <f t="shared" si="6"/>
        <v>1</v>
      </c>
      <c r="R35" s="43">
        <f t="shared" si="6"/>
        <v>10</v>
      </c>
      <c r="S35" s="43">
        <f t="shared" si="6"/>
        <v>1</v>
      </c>
      <c r="T35" s="43">
        <f t="shared" si="6"/>
        <v>200</v>
      </c>
      <c r="U35" s="43">
        <f t="shared" si="6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355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v>50000</v>
      </c>
      <c r="M36" s="43">
        <v>2</v>
      </c>
      <c r="N36" s="43">
        <v>200000</v>
      </c>
      <c r="O36" s="43">
        <f t="shared" ref="O36:U36" si="7">O6</f>
        <v>100</v>
      </c>
      <c r="P36" s="43">
        <f t="shared" si="7"/>
        <v>350</v>
      </c>
      <c r="Q36" s="44">
        <f t="shared" si="7"/>
        <v>1</v>
      </c>
      <c r="R36" s="43">
        <f t="shared" si="7"/>
        <v>200</v>
      </c>
      <c r="S36" s="43">
        <f t="shared" si="7"/>
        <v>1</v>
      </c>
      <c r="T36" s="43">
        <f t="shared" si="7"/>
        <v>200</v>
      </c>
      <c r="U36" s="43">
        <f t="shared" si="7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355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L5</f>
        <v>200000</v>
      </c>
      <c r="M37" s="43">
        <f t="shared" ref="M37:N37" si="8">M5</f>
        <v>10</v>
      </c>
      <c r="N37" s="43">
        <f t="shared" si="8"/>
        <v>1000000</v>
      </c>
      <c r="O37" s="43">
        <f t="shared" ref="O37:U37" si="9">O8</f>
        <v>1000</v>
      </c>
      <c r="P37" s="43">
        <f t="shared" si="9"/>
        <v>350</v>
      </c>
      <c r="Q37" s="44">
        <f t="shared" si="9"/>
        <v>1</v>
      </c>
      <c r="R37" s="43">
        <f t="shared" si="9"/>
        <v>800</v>
      </c>
      <c r="S37" s="43">
        <f t="shared" si="9"/>
        <v>10</v>
      </c>
      <c r="T37" s="43">
        <f t="shared" si="9"/>
        <v>200</v>
      </c>
      <c r="U37" s="43">
        <f t="shared" si="9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355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6400000</v>
      </c>
      <c r="M38" s="43">
        <f t="shared" ref="M38:U38" si="10">M10</f>
        <v>320</v>
      </c>
      <c r="N38" s="43">
        <f t="shared" si="10"/>
        <v>32000000</v>
      </c>
      <c r="O38" s="43">
        <f t="shared" si="10"/>
        <v>10000</v>
      </c>
      <c r="P38" s="43">
        <f t="shared" si="10"/>
        <v>350</v>
      </c>
      <c r="Q38" s="44">
        <f t="shared" si="10"/>
        <v>1</v>
      </c>
      <c r="R38" s="43">
        <f t="shared" si="10"/>
        <v>3200</v>
      </c>
      <c r="S38" s="43">
        <f t="shared" si="10"/>
        <v>100</v>
      </c>
      <c r="T38" s="43">
        <f t="shared" si="10"/>
        <v>200</v>
      </c>
      <c r="U38" s="43">
        <f t="shared" si="10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355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25600000</v>
      </c>
      <c r="M39" s="43">
        <f t="shared" ref="M39:U39" si="11">M12</f>
        <v>1280</v>
      </c>
      <c r="N39" s="43">
        <f t="shared" si="11"/>
        <v>128000000</v>
      </c>
      <c r="O39" s="43">
        <f t="shared" si="11"/>
        <v>10000</v>
      </c>
      <c r="P39" s="43">
        <f t="shared" si="11"/>
        <v>350</v>
      </c>
      <c r="Q39" s="44">
        <f t="shared" si="11"/>
        <v>1</v>
      </c>
      <c r="R39" s="43">
        <f t="shared" si="11"/>
        <v>12800</v>
      </c>
      <c r="S39" s="43">
        <f t="shared" si="11"/>
        <v>100</v>
      </c>
      <c r="T39" s="43">
        <f t="shared" si="11"/>
        <v>200</v>
      </c>
      <c r="U39" s="43">
        <f t="shared" si="11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355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12">M14</f>
        <v>3000</v>
      </c>
      <c r="N40" s="43">
        <f t="shared" si="12"/>
        <v>11250000</v>
      </c>
      <c r="O40" s="43">
        <f t="shared" si="12"/>
        <v>10000</v>
      </c>
      <c r="P40" s="43">
        <f t="shared" si="12"/>
        <v>350</v>
      </c>
      <c r="Q40" s="44">
        <f t="shared" si="12"/>
        <v>1</v>
      </c>
      <c r="R40" s="43">
        <f t="shared" si="12"/>
        <v>1125</v>
      </c>
      <c r="S40" s="43">
        <f t="shared" si="12"/>
        <v>100</v>
      </c>
      <c r="T40" s="43">
        <f t="shared" si="12"/>
        <v>200</v>
      </c>
      <c r="U40" s="43">
        <f t="shared" si="12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355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13">M16</f>
        <v>4000</v>
      </c>
      <c r="N41" s="43">
        <f t="shared" si="13"/>
        <v>23750000</v>
      </c>
      <c r="O41" s="43">
        <f t="shared" si="13"/>
        <v>10000</v>
      </c>
      <c r="P41" s="43">
        <f t="shared" si="13"/>
        <v>350</v>
      </c>
      <c r="Q41" s="44">
        <f t="shared" si="13"/>
        <v>1</v>
      </c>
      <c r="R41" s="43">
        <f t="shared" si="13"/>
        <v>2375</v>
      </c>
      <c r="S41" s="43">
        <f t="shared" si="13"/>
        <v>100</v>
      </c>
      <c r="T41" s="43">
        <f t="shared" si="13"/>
        <v>200</v>
      </c>
      <c r="U41" s="43">
        <f t="shared" si="13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355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4">M18</f>
        <v>5000</v>
      </c>
      <c r="N42" s="43">
        <f t="shared" si="14"/>
        <v>36250000</v>
      </c>
      <c r="O42" s="43">
        <f t="shared" si="14"/>
        <v>10000</v>
      </c>
      <c r="P42" s="43">
        <f t="shared" si="14"/>
        <v>350</v>
      </c>
      <c r="Q42" s="44">
        <f t="shared" si="14"/>
        <v>1</v>
      </c>
      <c r="R42" s="43">
        <f t="shared" si="14"/>
        <v>3625</v>
      </c>
      <c r="S42" s="43">
        <f t="shared" si="14"/>
        <v>100</v>
      </c>
      <c r="T42" s="43">
        <f t="shared" si="14"/>
        <v>200</v>
      </c>
      <c r="U42" s="43">
        <f t="shared" si="14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355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1600000</v>
      </c>
      <c r="M43" s="43">
        <f t="shared" ref="M43:W43" si="15">M8</f>
        <v>80</v>
      </c>
      <c r="N43" s="43">
        <f t="shared" si="15"/>
        <v>8000000</v>
      </c>
      <c r="O43" s="43">
        <f t="shared" si="15"/>
        <v>1000</v>
      </c>
      <c r="P43" s="43">
        <f t="shared" si="15"/>
        <v>350</v>
      </c>
      <c r="Q43" s="44">
        <f t="shared" si="15"/>
        <v>1</v>
      </c>
      <c r="R43" s="43">
        <f t="shared" si="15"/>
        <v>800</v>
      </c>
      <c r="S43" s="43">
        <f t="shared" si="15"/>
        <v>10</v>
      </c>
      <c r="T43" s="43">
        <f t="shared" si="15"/>
        <v>200</v>
      </c>
      <c r="U43" s="43">
        <f t="shared" si="15"/>
        <v>50</v>
      </c>
      <c r="V43" s="43">
        <f t="shared" si="15"/>
        <v>0</v>
      </c>
      <c r="W43" s="43">
        <f t="shared" si="15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355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6">M14</f>
        <v>3000</v>
      </c>
      <c r="N44" s="43">
        <f t="shared" si="16"/>
        <v>11250000</v>
      </c>
      <c r="O44" s="43">
        <f t="shared" si="16"/>
        <v>10000</v>
      </c>
      <c r="P44" s="43">
        <f t="shared" si="16"/>
        <v>350</v>
      </c>
      <c r="Q44" s="44">
        <f t="shared" si="16"/>
        <v>1</v>
      </c>
      <c r="R44" s="43">
        <f t="shared" si="16"/>
        <v>1125</v>
      </c>
      <c r="S44" s="43">
        <f t="shared" si="16"/>
        <v>100</v>
      </c>
      <c r="T44" s="43">
        <f t="shared" si="16"/>
        <v>200</v>
      </c>
      <c r="U44" s="43">
        <f t="shared" si="16"/>
        <v>110</v>
      </c>
      <c r="V44" s="43">
        <f t="shared" si="16"/>
        <v>0</v>
      </c>
      <c r="W44" s="43">
        <f t="shared" si="16"/>
        <v>0</v>
      </c>
      <c r="X44" s="43">
        <f t="shared" si="16"/>
        <v>0</v>
      </c>
      <c r="Y44" s="43">
        <f t="shared" si="16"/>
        <v>0</v>
      </c>
    </row>
    <row r="45" spans="1:25" ht="15" x14ac:dyDescent="0.15">
      <c r="A45" s="30" t="s">
        <v>260</v>
      </c>
      <c r="B45" s="11" t="s">
        <v>147</v>
      </c>
      <c r="C45" s="12" t="s">
        <v>355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7">M23</f>
        <v>7500</v>
      </c>
      <c r="N45" s="43">
        <f t="shared" si="17"/>
        <v>67500000</v>
      </c>
      <c r="O45" s="43">
        <f t="shared" si="17"/>
        <v>10000</v>
      </c>
      <c r="P45" s="43">
        <f t="shared" si="17"/>
        <v>350</v>
      </c>
      <c r="Q45" s="44">
        <f t="shared" si="17"/>
        <v>1</v>
      </c>
      <c r="R45" s="43">
        <f t="shared" si="17"/>
        <v>6750</v>
      </c>
      <c r="S45" s="43">
        <f t="shared" si="17"/>
        <v>100</v>
      </c>
      <c r="T45" s="43">
        <f t="shared" si="17"/>
        <v>200</v>
      </c>
      <c r="U45" s="43">
        <f t="shared" si="17"/>
        <v>200</v>
      </c>
      <c r="V45" s="43">
        <f t="shared" si="17"/>
        <v>0</v>
      </c>
      <c r="W45" s="43">
        <f t="shared" si="17"/>
        <v>0</v>
      </c>
      <c r="X45" s="43">
        <f t="shared" si="17"/>
        <v>0</v>
      </c>
      <c r="Y45" s="43">
        <f t="shared" si="17"/>
        <v>0</v>
      </c>
    </row>
    <row r="46" spans="1:25" ht="15" x14ac:dyDescent="0.15">
      <c r="A46" s="30" t="s">
        <v>261</v>
      </c>
      <c r="B46" s="11" t="s">
        <v>148</v>
      </c>
      <c r="C46" s="12" t="s">
        <v>375</v>
      </c>
      <c r="D46" s="7"/>
      <c r="E46" s="7"/>
      <c r="F46" s="37">
        <v>500</v>
      </c>
      <c r="G46" s="37"/>
      <c r="H46" s="37"/>
      <c r="I46" s="37">
        <v>500</v>
      </c>
      <c r="J46" s="53">
        <v>0</v>
      </c>
      <c r="K46" s="38"/>
      <c r="L46" s="43">
        <v>1500000</v>
      </c>
      <c r="M46" s="43">
        <f>M4*3</f>
        <v>15</v>
      </c>
      <c r="N46" s="43">
        <v>7500000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0</v>
      </c>
      <c r="W46" s="46">
        <v>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375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>L46*1.25</f>
        <v>1875000</v>
      </c>
      <c r="M47" s="43">
        <f>M46*1.25</f>
        <v>18.75</v>
      </c>
      <c r="N47" s="43">
        <f t="shared" ref="N47" si="18">N46*1.25</f>
        <v>9375000</v>
      </c>
      <c r="O47" s="43">
        <f t="shared" ref="L47:O62" si="19">O5*3</f>
        <v>300</v>
      </c>
      <c r="P47" s="39">
        <f t="shared" ref="P47:P70" si="20">P5</f>
        <v>350</v>
      </c>
      <c r="Q47" s="40">
        <v>0.75</v>
      </c>
      <c r="R47" s="39">
        <f t="shared" ref="R47:U62" si="21">R5</f>
        <v>100</v>
      </c>
      <c r="S47" s="39">
        <f t="shared" si="21"/>
        <v>1</v>
      </c>
      <c r="T47" s="39">
        <f t="shared" si="21"/>
        <v>200</v>
      </c>
      <c r="U47" s="39">
        <f t="shared" si="21"/>
        <v>20</v>
      </c>
      <c r="V47" s="46">
        <v>0</v>
      </c>
      <c r="W47" s="46">
        <v>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375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f>L47*5</f>
        <v>9375000</v>
      </c>
      <c r="M48" s="43">
        <f>M47*5</f>
        <v>93.75</v>
      </c>
      <c r="N48" s="43">
        <f>N47*5</f>
        <v>46875000</v>
      </c>
      <c r="O48" s="43">
        <f t="shared" si="19"/>
        <v>300</v>
      </c>
      <c r="P48" s="39">
        <f t="shared" si="20"/>
        <v>350</v>
      </c>
      <c r="Q48" s="40">
        <v>0.75</v>
      </c>
      <c r="R48" s="39">
        <f t="shared" si="21"/>
        <v>200</v>
      </c>
      <c r="S48" s="39">
        <f t="shared" si="21"/>
        <v>1</v>
      </c>
      <c r="T48" s="39">
        <f t="shared" si="21"/>
        <v>200</v>
      </c>
      <c r="U48" s="39">
        <f t="shared" si="21"/>
        <v>30</v>
      </c>
      <c r="V48" s="46">
        <v>0</v>
      </c>
      <c r="W48" s="46">
        <v>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375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>L48*1.25</f>
        <v>11718750</v>
      </c>
      <c r="M49" s="43">
        <f>M48*1.25</f>
        <v>117.1875</v>
      </c>
      <c r="N49" s="43">
        <f>N48*1.25</f>
        <v>58593750</v>
      </c>
      <c r="O49" s="43">
        <f t="shared" si="19"/>
        <v>3000</v>
      </c>
      <c r="P49" s="39">
        <f t="shared" si="20"/>
        <v>350</v>
      </c>
      <c r="Q49" s="40">
        <v>0.75</v>
      </c>
      <c r="R49" s="39">
        <f t="shared" si="21"/>
        <v>400</v>
      </c>
      <c r="S49" s="39">
        <f t="shared" si="21"/>
        <v>10</v>
      </c>
      <c r="T49" s="39">
        <f t="shared" si="21"/>
        <v>200</v>
      </c>
      <c r="U49" s="39">
        <f t="shared" si="21"/>
        <v>40</v>
      </c>
      <c r="V49" s="46">
        <v>0</v>
      </c>
      <c r="W49" s="46">
        <v>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375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si="19"/>
        <v>4800000</v>
      </c>
      <c r="M50" s="43">
        <f t="shared" si="19"/>
        <v>240</v>
      </c>
      <c r="N50" s="43">
        <f t="shared" si="19"/>
        <v>24000000</v>
      </c>
      <c r="O50" s="43">
        <f t="shared" si="19"/>
        <v>3000</v>
      </c>
      <c r="P50" s="39">
        <f t="shared" si="20"/>
        <v>350</v>
      </c>
      <c r="Q50" s="40">
        <v>0.75</v>
      </c>
      <c r="R50" s="39">
        <f t="shared" si="21"/>
        <v>800</v>
      </c>
      <c r="S50" s="39">
        <f t="shared" si="21"/>
        <v>10</v>
      </c>
      <c r="T50" s="39">
        <f t="shared" si="21"/>
        <v>200</v>
      </c>
      <c r="U50" s="39">
        <f t="shared" si="21"/>
        <v>50</v>
      </c>
      <c r="V50" s="46">
        <v>0</v>
      </c>
      <c r="W50" s="46">
        <v>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375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19"/>
        <v>9600000</v>
      </c>
      <c r="M51" s="43">
        <f t="shared" si="19"/>
        <v>480</v>
      </c>
      <c r="N51" s="43">
        <f t="shared" si="19"/>
        <v>48000000</v>
      </c>
      <c r="O51" s="43">
        <f t="shared" si="19"/>
        <v>30000</v>
      </c>
      <c r="P51" s="39">
        <f t="shared" si="20"/>
        <v>350</v>
      </c>
      <c r="Q51" s="40">
        <v>0.75</v>
      </c>
      <c r="R51" s="39">
        <f t="shared" si="21"/>
        <v>1600</v>
      </c>
      <c r="S51" s="39">
        <f t="shared" si="21"/>
        <v>100</v>
      </c>
      <c r="T51" s="39">
        <f t="shared" si="21"/>
        <v>200</v>
      </c>
      <c r="U51" s="39">
        <f t="shared" si="21"/>
        <v>60</v>
      </c>
      <c r="V51" s="46">
        <v>0</v>
      </c>
      <c r="W51" s="46">
        <v>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375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19"/>
        <v>19200000</v>
      </c>
      <c r="M52" s="43">
        <f t="shared" si="19"/>
        <v>960</v>
      </c>
      <c r="N52" s="43">
        <f t="shared" si="19"/>
        <v>96000000</v>
      </c>
      <c r="O52" s="43">
        <f t="shared" si="19"/>
        <v>30000</v>
      </c>
      <c r="P52" s="39">
        <f t="shared" si="20"/>
        <v>350</v>
      </c>
      <c r="Q52" s="40">
        <v>0.75</v>
      </c>
      <c r="R52" s="39">
        <f t="shared" si="21"/>
        <v>3200</v>
      </c>
      <c r="S52" s="39">
        <f t="shared" si="21"/>
        <v>100</v>
      </c>
      <c r="T52" s="39">
        <f t="shared" si="21"/>
        <v>200</v>
      </c>
      <c r="U52" s="39">
        <f t="shared" si="21"/>
        <v>70</v>
      </c>
      <c r="V52" s="46">
        <v>0</v>
      </c>
      <c r="W52" s="46">
        <v>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375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9"/>
        <v>38400000</v>
      </c>
      <c r="M53" s="43">
        <f t="shared" si="19"/>
        <v>1920</v>
      </c>
      <c r="N53" s="43">
        <f t="shared" si="19"/>
        <v>192000000</v>
      </c>
      <c r="O53" s="43">
        <f t="shared" si="19"/>
        <v>30000</v>
      </c>
      <c r="P53" s="39">
        <f t="shared" si="20"/>
        <v>350</v>
      </c>
      <c r="Q53" s="40">
        <v>0.75</v>
      </c>
      <c r="R53" s="39">
        <f t="shared" si="21"/>
        <v>6400</v>
      </c>
      <c r="S53" s="39">
        <f t="shared" si="21"/>
        <v>100</v>
      </c>
      <c r="T53" s="39">
        <f t="shared" si="21"/>
        <v>200</v>
      </c>
      <c r="U53" s="39">
        <f t="shared" si="21"/>
        <v>80</v>
      </c>
      <c r="V53" s="46">
        <v>0</v>
      </c>
      <c r="W53" s="46">
        <v>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375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9"/>
        <v>76800000</v>
      </c>
      <c r="M54" s="43">
        <f t="shared" si="19"/>
        <v>3840</v>
      </c>
      <c r="N54" s="43">
        <f t="shared" si="19"/>
        <v>384000000</v>
      </c>
      <c r="O54" s="43">
        <f t="shared" si="19"/>
        <v>30000</v>
      </c>
      <c r="P54" s="39">
        <f t="shared" si="20"/>
        <v>350</v>
      </c>
      <c r="Q54" s="40">
        <v>0.75</v>
      </c>
      <c r="R54" s="39">
        <f t="shared" si="21"/>
        <v>12800</v>
      </c>
      <c r="S54" s="39">
        <f t="shared" si="21"/>
        <v>100</v>
      </c>
      <c r="T54" s="39">
        <f t="shared" si="21"/>
        <v>200</v>
      </c>
      <c r="U54" s="39">
        <f t="shared" si="21"/>
        <v>90</v>
      </c>
      <c r="V54" s="46">
        <v>0</v>
      </c>
      <c r="W54" s="46">
        <v>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375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9"/>
        <v>153600000</v>
      </c>
      <c r="M55" s="43">
        <f t="shared" si="19"/>
        <v>7680</v>
      </c>
      <c r="N55" s="43">
        <f t="shared" si="19"/>
        <v>768000000</v>
      </c>
      <c r="O55" s="43">
        <f t="shared" si="19"/>
        <v>30000</v>
      </c>
      <c r="P55" s="39">
        <f t="shared" si="20"/>
        <v>350</v>
      </c>
      <c r="Q55" s="40">
        <v>0.75</v>
      </c>
      <c r="R55" s="39">
        <f t="shared" si="21"/>
        <v>25600</v>
      </c>
      <c r="S55" s="39">
        <f t="shared" si="21"/>
        <v>100</v>
      </c>
      <c r="T55" s="39">
        <f t="shared" si="21"/>
        <v>200</v>
      </c>
      <c r="U55" s="39">
        <f t="shared" si="21"/>
        <v>100</v>
      </c>
      <c r="V55" s="46">
        <v>0</v>
      </c>
      <c r="W55" s="46">
        <v>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375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9"/>
        <v>6750000</v>
      </c>
      <c r="M56" s="43">
        <f t="shared" si="19"/>
        <v>9000</v>
      </c>
      <c r="N56" s="43">
        <f t="shared" si="19"/>
        <v>33750000</v>
      </c>
      <c r="O56" s="43">
        <f t="shared" si="19"/>
        <v>30000</v>
      </c>
      <c r="P56" s="39">
        <f t="shared" si="20"/>
        <v>350</v>
      </c>
      <c r="Q56" s="40">
        <v>0.75</v>
      </c>
      <c r="R56" s="39">
        <f t="shared" si="21"/>
        <v>1125</v>
      </c>
      <c r="S56" s="39">
        <f t="shared" si="21"/>
        <v>100</v>
      </c>
      <c r="T56" s="39">
        <f t="shared" si="21"/>
        <v>200</v>
      </c>
      <c r="U56" s="39">
        <f t="shared" si="21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375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9"/>
        <v>10500000</v>
      </c>
      <c r="M57" s="43">
        <f t="shared" si="19"/>
        <v>10500</v>
      </c>
      <c r="N57" s="43">
        <f t="shared" si="19"/>
        <v>52500000</v>
      </c>
      <c r="O57" s="43">
        <f t="shared" si="19"/>
        <v>30000</v>
      </c>
      <c r="P57" s="39">
        <f t="shared" si="20"/>
        <v>350</v>
      </c>
      <c r="Q57" s="40">
        <v>0.75</v>
      </c>
      <c r="R57" s="39">
        <f t="shared" si="21"/>
        <v>1750</v>
      </c>
      <c r="S57" s="39">
        <f t="shared" si="21"/>
        <v>100</v>
      </c>
      <c r="T57" s="39">
        <f t="shared" si="21"/>
        <v>200</v>
      </c>
      <c r="U57" s="39">
        <f t="shared" si="21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375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9"/>
        <v>14250000</v>
      </c>
      <c r="M58" s="43">
        <f t="shared" si="19"/>
        <v>12000</v>
      </c>
      <c r="N58" s="43">
        <f t="shared" si="19"/>
        <v>71250000</v>
      </c>
      <c r="O58" s="43">
        <f t="shared" si="19"/>
        <v>30000</v>
      </c>
      <c r="P58" s="39">
        <f t="shared" si="20"/>
        <v>350</v>
      </c>
      <c r="Q58" s="40">
        <v>0.75</v>
      </c>
      <c r="R58" s="39">
        <f t="shared" si="21"/>
        <v>2375</v>
      </c>
      <c r="S58" s="39">
        <f t="shared" si="21"/>
        <v>100</v>
      </c>
      <c r="T58" s="39">
        <f t="shared" si="21"/>
        <v>200</v>
      </c>
      <c r="U58" s="39">
        <f t="shared" si="21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375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9"/>
        <v>18000000</v>
      </c>
      <c r="M59" s="43">
        <f t="shared" si="19"/>
        <v>13500</v>
      </c>
      <c r="N59" s="43">
        <f t="shared" si="19"/>
        <v>90000000</v>
      </c>
      <c r="O59" s="43">
        <f t="shared" si="19"/>
        <v>30000</v>
      </c>
      <c r="P59" s="39">
        <f t="shared" si="20"/>
        <v>350</v>
      </c>
      <c r="Q59" s="40">
        <v>0.75</v>
      </c>
      <c r="R59" s="39">
        <f t="shared" si="21"/>
        <v>3000</v>
      </c>
      <c r="S59" s="39">
        <f t="shared" si="21"/>
        <v>100</v>
      </c>
      <c r="T59" s="39">
        <f t="shared" si="21"/>
        <v>200</v>
      </c>
      <c r="U59" s="39">
        <f t="shared" si="21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375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9"/>
        <v>21750000</v>
      </c>
      <c r="M60" s="43">
        <f t="shared" si="19"/>
        <v>15000</v>
      </c>
      <c r="N60" s="43">
        <f t="shared" si="19"/>
        <v>108750000</v>
      </c>
      <c r="O60" s="43">
        <f t="shared" si="19"/>
        <v>30000</v>
      </c>
      <c r="P60" s="39">
        <f t="shared" si="20"/>
        <v>350</v>
      </c>
      <c r="Q60" s="40">
        <v>0.75</v>
      </c>
      <c r="R60" s="39">
        <f t="shared" si="21"/>
        <v>3625</v>
      </c>
      <c r="S60" s="39">
        <f t="shared" si="21"/>
        <v>100</v>
      </c>
      <c r="T60" s="39">
        <f t="shared" si="21"/>
        <v>200</v>
      </c>
      <c r="U60" s="39">
        <f t="shared" si="21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375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9"/>
        <v>25500000</v>
      </c>
      <c r="M61" s="43">
        <f t="shared" si="19"/>
        <v>16500</v>
      </c>
      <c r="N61" s="43">
        <f t="shared" si="19"/>
        <v>127500000</v>
      </c>
      <c r="O61" s="43">
        <f t="shared" si="19"/>
        <v>30000</v>
      </c>
      <c r="P61" s="39">
        <f t="shared" si="20"/>
        <v>350</v>
      </c>
      <c r="Q61" s="40">
        <v>0.75</v>
      </c>
      <c r="R61" s="39">
        <f t="shared" si="21"/>
        <v>4250</v>
      </c>
      <c r="S61" s="39">
        <f t="shared" si="21"/>
        <v>100</v>
      </c>
      <c r="T61" s="39">
        <f t="shared" si="21"/>
        <v>200</v>
      </c>
      <c r="U61" s="39">
        <f t="shared" si="21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375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9"/>
        <v>29250000</v>
      </c>
      <c r="M62" s="43">
        <f t="shared" si="19"/>
        <v>18000</v>
      </c>
      <c r="N62" s="43">
        <f t="shared" si="19"/>
        <v>146250000</v>
      </c>
      <c r="O62" s="43">
        <f t="shared" si="19"/>
        <v>30000</v>
      </c>
      <c r="P62" s="39">
        <f t="shared" si="20"/>
        <v>350</v>
      </c>
      <c r="Q62" s="40">
        <v>0.75</v>
      </c>
      <c r="R62" s="39">
        <f t="shared" si="21"/>
        <v>4875</v>
      </c>
      <c r="S62" s="39">
        <f t="shared" si="21"/>
        <v>100</v>
      </c>
      <c r="T62" s="39">
        <f t="shared" si="21"/>
        <v>200</v>
      </c>
      <c r="U62" s="39">
        <f t="shared" si="21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375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22">L21*3</f>
        <v>33000000</v>
      </c>
      <c r="M63" s="43">
        <f t="shared" si="22"/>
        <v>19500</v>
      </c>
      <c r="N63" s="43">
        <f t="shared" si="22"/>
        <v>165000000</v>
      </c>
      <c r="O63" s="43">
        <f t="shared" si="22"/>
        <v>30000</v>
      </c>
      <c r="P63" s="39">
        <f t="shared" si="20"/>
        <v>350</v>
      </c>
      <c r="Q63" s="40">
        <v>0.75</v>
      </c>
      <c r="R63" s="39">
        <f t="shared" ref="R63:U70" si="23">R21</f>
        <v>5500</v>
      </c>
      <c r="S63" s="39">
        <f t="shared" si="23"/>
        <v>100</v>
      </c>
      <c r="T63" s="39">
        <f t="shared" si="23"/>
        <v>200</v>
      </c>
      <c r="U63" s="39">
        <f t="shared" si="23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375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22"/>
        <v>36750000</v>
      </c>
      <c r="M64" s="43">
        <f t="shared" si="22"/>
        <v>21000</v>
      </c>
      <c r="N64" s="43">
        <f t="shared" si="22"/>
        <v>183750000</v>
      </c>
      <c r="O64" s="43">
        <f t="shared" si="22"/>
        <v>30000</v>
      </c>
      <c r="P64" s="39">
        <f t="shared" si="20"/>
        <v>350</v>
      </c>
      <c r="Q64" s="40">
        <v>0.75</v>
      </c>
      <c r="R64" s="39">
        <f t="shared" si="23"/>
        <v>6125</v>
      </c>
      <c r="S64" s="39">
        <f t="shared" si="23"/>
        <v>100</v>
      </c>
      <c r="T64" s="39">
        <f t="shared" si="23"/>
        <v>200</v>
      </c>
      <c r="U64" s="39">
        <f t="shared" si="23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375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22"/>
        <v>40500000</v>
      </c>
      <c r="M65" s="43">
        <f t="shared" si="22"/>
        <v>22500</v>
      </c>
      <c r="N65" s="43">
        <f t="shared" si="22"/>
        <v>202500000</v>
      </c>
      <c r="O65" s="43">
        <f t="shared" si="22"/>
        <v>30000</v>
      </c>
      <c r="P65" s="39">
        <f t="shared" si="20"/>
        <v>350</v>
      </c>
      <c r="Q65" s="40">
        <v>0.75</v>
      </c>
      <c r="R65" s="39">
        <f t="shared" si="23"/>
        <v>6750</v>
      </c>
      <c r="S65" s="39">
        <f t="shared" si="23"/>
        <v>100</v>
      </c>
      <c r="T65" s="39">
        <f t="shared" si="23"/>
        <v>200</v>
      </c>
      <c r="U65" s="39">
        <f t="shared" si="23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375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22"/>
        <v>44250000</v>
      </c>
      <c r="M66" s="43">
        <f t="shared" si="22"/>
        <v>24000</v>
      </c>
      <c r="N66" s="43">
        <f t="shared" si="22"/>
        <v>221250000</v>
      </c>
      <c r="O66" s="43">
        <f t="shared" si="22"/>
        <v>30000</v>
      </c>
      <c r="P66" s="39">
        <f t="shared" si="20"/>
        <v>350</v>
      </c>
      <c r="Q66" s="40">
        <v>0.75</v>
      </c>
      <c r="R66" s="39">
        <f t="shared" si="23"/>
        <v>7375</v>
      </c>
      <c r="S66" s="39">
        <f t="shared" si="23"/>
        <v>100</v>
      </c>
      <c r="T66" s="39">
        <f t="shared" si="23"/>
        <v>200</v>
      </c>
      <c r="U66" s="39">
        <f t="shared" si="23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375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22"/>
        <v>48000000</v>
      </c>
      <c r="M67" s="43">
        <f t="shared" si="22"/>
        <v>25500</v>
      </c>
      <c r="N67" s="43">
        <f t="shared" si="22"/>
        <v>240000000</v>
      </c>
      <c r="O67" s="43">
        <f t="shared" si="22"/>
        <v>30000</v>
      </c>
      <c r="P67" s="39">
        <f t="shared" si="20"/>
        <v>350</v>
      </c>
      <c r="Q67" s="40">
        <v>0.75</v>
      </c>
      <c r="R67" s="39">
        <f t="shared" si="23"/>
        <v>8000</v>
      </c>
      <c r="S67" s="39">
        <f t="shared" si="23"/>
        <v>100</v>
      </c>
      <c r="T67" s="39">
        <f t="shared" si="23"/>
        <v>200</v>
      </c>
      <c r="U67" s="39">
        <f t="shared" si="23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375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22"/>
        <v>51750000</v>
      </c>
      <c r="M68" s="43">
        <f t="shared" si="22"/>
        <v>27000</v>
      </c>
      <c r="N68" s="43">
        <f t="shared" si="22"/>
        <v>258750000</v>
      </c>
      <c r="O68" s="43">
        <f t="shared" si="22"/>
        <v>30000</v>
      </c>
      <c r="P68" s="39">
        <f t="shared" si="20"/>
        <v>350</v>
      </c>
      <c r="Q68" s="40">
        <v>0.75</v>
      </c>
      <c r="R68" s="39">
        <f t="shared" si="23"/>
        <v>8625</v>
      </c>
      <c r="S68" s="39">
        <f t="shared" si="23"/>
        <v>100</v>
      </c>
      <c r="T68" s="39">
        <f t="shared" si="23"/>
        <v>200</v>
      </c>
      <c r="U68" s="39">
        <f t="shared" si="23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375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22"/>
        <v>55500000</v>
      </c>
      <c r="M69" s="43">
        <f t="shared" si="22"/>
        <v>28500</v>
      </c>
      <c r="N69" s="43">
        <f t="shared" si="22"/>
        <v>277500000</v>
      </c>
      <c r="O69" s="43">
        <f t="shared" si="22"/>
        <v>30000</v>
      </c>
      <c r="P69" s="39">
        <f t="shared" si="20"/>
        <v>350</v>
      </c>
      <c r="Q69" s="40">
        <v>0.75</v>
      </c>
      <c r="R69" s="39">
        <f t="shared" si="23"/>
        <v>9250</v>
      </c>
      <c r="S69" s="39">
        <f t="shared" si="23"/>
        <v>100</v>
      </c>
      <c r="T69" s="39">
        <f t="shared" si="23"/>
        <v>200</v>
      </c>
      <c r="U69" s="39">
        <f t="shared" si="23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375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22"/>
        <v>59250000</v>
      </c>
      <c r="M70" s="43">
        <f t="shared" si="22"/>
        <v>30000</v>
      </c>
      <c r="N70" s="43">
        <f t="shared" si="22"/>
        <v>296250000</v>
      </c>
      <c r="O70" s="43">
        <f t="shared" si="22"/>
        <v>30000</v>
      </c>
      <c r="P70" s="39">
        <f t="shared" si="20"/>
        <v>350</v>
      </c>
      <c r="Q70" s="40">
        <v>0.75</v>
      </c>
      <c r="R70" s="39">
        <f t="shared" si="23"/>
        <v>9875</v>
      </c>
      <c r="S70" s="39">
        <f t="shared" si="23"/>
        <v>100</v>
      </c>
      <c r="T70" s="39">
        <f t="shared" si="23"/>
        <v>200</v>
      </c>
      <c r="U70" s="39">
        <f t="shared" si="23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376</v>
      </c>
      <c r="B71" s="11" t="s">
        <v>173</v>
      </c>
      <c r="C71" s="12" t="s">
        <v>375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10312500</v>
      </c>
      <c r="M71" s="43">
        <f>M48*1.1</f>
        <v>103.12500000000001</v>
      </c>
      <c r="N71" s="43">
        <f>N48*1.1</f>
        <v>51562500.000000007</v>
      </c>
      <c r="O71" s="43">
        <f>O48</f>
        <v>300</v>
      </c>
      <c r="P71" s="43">
        <f t="shared" ref="P71:U71" si="24">P48</f>
        <v>350</v>
      </c>
      <c r="Q71" s="40">
        <v>0.75</v>
      </c>
      <c r="R71" s="43">
        <f t="shared" si="24"/>
        <v>200</v>
      </c>
      <c r="S71" s="43">
        <f t="shared" si="24"/>
        <v>1</v>
      </c>
      <c r="T71" s="43">
        <f t="shared" si="24"/>
        <v>200</v>
      </c>
      <c r="U71" s="43">
        <f t="shared" si="24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375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10560000</v>
      </c>
      <c r="M72" s="43">
        <f>M51*1.1</f>
        <v>528</v>
      </c>
      <c r="N72" s="43">
        <f>N51*1.1</f>
        <v>52800000.000000007</v>
      </c>
      <c r="O72" s="43">
        <f>O51</f>
        <v>30000</v>
      </c>
      <c r="P72" s="43">
        <f t="shared" ref="P72:U72" si="25">P51</f>
        <v>350</v>
      </c>
      <c r="Q72" s="40">
        <v>0.75</v>
      </c>
      <c r="R72" s="43">
        <f t="shared" si="25"/>
        <v>1600</v>
      </c>
      <c r="S72" s="43">
        <f t="shared" si="25"/>
        <v>100</v>
      </c>
      <c r="T72" s="43">
        <f t="shared" si="25"/>
        <v>200</v>
      </c>
      <c r="U72" s="43">
        <f t="shared" si="25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375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168960000</v>
      </c>
      <c r="M73" s="43">
        <f>M55*1.1</f>
        <v>8448</v>
      </c>
      <c r="N73" s="43">
        <f>N55*1.1</f>
        <v>844800000.00000012</v>
      </c>
      <c r="O73" s="43">
        <f>O55</f>
        <v>30000</v>
      </c>
      <c r="P73" s="43">
        <f t="shared" ref="P73:U73" si="26">P55</f>
        <v>350</v>
      </c>
      <c r="Q73" s="40">
        <v>0.75</v>
      </c>
      <c r="R73" s="43">
        <f t="shared" si="26"/>
        <v>25600</v>
      </c>
      <c r="S73" s="43">
        <f t="shared" si="26"/>
        <v>100</v>
      </c>
      <c r="T73" s="43">
        <f t="shared" si="26"/>
        <v>200</v>
      </c>
      <c r="U73" s="43">
        <f t="shared" si="26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375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27">P60*1</f>
        <v>350</v>
      </c>
      <c r="Q74" s="40">
        <v>0.75</v>
      </c>
      <c r="R74" s="43">
        <f t="shared" si="27"/>
        <v>3625</v>
      </c>
      <c r="S74" s="43">
        <f t="shared" si="27"/>
        <v>100</v>
      </c>
      <c r="T74" s="43">
        <f t="shared" si="27"/>
        <v>200</v>
      </c>
      <c r="U74" s="43">
        <f t="shared" si="27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375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14062500</v>
      </c>
      <c r="M75" s="43">
        <f>M49*1.2</f>
        <v>140.625</v>
      </c>
      <c r="N75" s="43">
        <f>N49*1.2</f>
        <v>70312500</v>
      </c>
      <c r="O75" s="43">
        <f>O49*1</f>
        <v>3000</v>
      </c>
      <c r="P75" s="43">
        <f t="shared" ref="P75:U75" si="28">P49*1</f>
        <v>350</v>
      </c>
      <c r="Q75" s="40">
        <v>0.75</v>
      </c>
      <c r="R75" s="43">
        <f t="shared" si="28"/>
        <v>400</v>
      </c>
      <c r="S75" s="43">
        <f t="shared" si="28"/>
        <v>10</v>
      </c>
      <c r="T75" s="43">
        <f t="shared" si="28"/>
        <v>200</v>
      </c>
      <c r="U75" s="43">
        <f t="shared" si="28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375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46080000</v>
      </c>
      <c r="M76" s="43">
        <f>M53*1.2</f>
        <v>2304</v>
      </c>
      <c r="N76" s="43">
        <f>N53*1.2</f>
        <v>230400000</v>
      </c>
      <c r="O76" s="43">
        <f>O53*1</f>
        <v>30000</v>
      </c>
      <c r="P76" s="43">
        <f t="shared" ref="P76:U76" si="29">P53*1</f>
        <v>350</v>
      </c>
      <c r="Q76" s="40">
        <v>0.75</v>
      </c>
      <c r="R76" s="43">
        <f t="shared" si="29"/>
        <v>6400</v>
      </c>
      <c r="S76" s="43">
        <f t="shared" si="29"/>
        <v>100</v>
      </c>
      <c r="T76" s="43">
        <f t="shared" si="29"/>
        <v>200</v>
      </c>
      <c r="U76" s="43">
        <f t="shared" si="29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375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30">P58</f>
        <v>350</v>
      </c>
      <c r="Q77" s="40">
        <v>0.75</v>
      </c>
      <c r="R77" s="43">
        <f t="shared" si="30"/>
        <v>2375</v>
      </c>
      <c r="S77" s="43">
        <f t="shared" si="30"/>
        <v>100</v>
      </c>
      <c r="T77" s="43">
        <f t="shared" si="30"/>
        <v>200</v>
      </c>
      <c r="U77" s="43">
        <f t="shared" si="30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375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31">P64</f>
        <v>350</v>
      </c>
      <c r="Q78" s="40">
        <v>0.75</v>
      </c>
      <c r="R78" s="43">
        <f t="shared" si="31"/>
        <v>6125</v>
      </c>
      <c r="S78" s="43">
        <f t="shared" si="31"/>
        <v>100</v>
      </c>
      <c r="T78" s="43">
        <f t="shared" si="31"/>
        <v>200</v>
      </c>
      <c r="U78" s="43">
        <f t="shared" si="31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375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6240000</v>
      </c>
      <c r="M79" s="43">
        <f>M50*1.3</f>
        <v>312</v>
      </c>
      <c r="N79" s="43">
        <f>N50*1.3</f>
        <v>31200000</v>
      </c>
      <c r="O79" s="43">
        <f>O50*1</f>
        <v>3000</v>
      </c>
      <c r="P79" s="43">
        <f t="shared" ref="P79:U79" si="32">P50*1</f>
        <v>350</v>
      </c>
      <c r="Q79" s="40">
        <v>0.75</v>
      </c>
      <c r="R79" s="43">
        <f t="shared" si="32"/>
        <v>800</v>
      </c>
      <c r="S79" s="43">
        <f t="shared" si="32"/>
        <v>10</v>
      </c>
      <c r="T79" s="43">
        <f t="shared" si="32"/>
        <v>200</v>
      </c>
      <c r="U79" s="43">
        <f t="shared" si="32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375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24960000</v>
      </c>
      <c r="M80" s="43">
        <f>M52*1.3</f>
        <v>1248</v>
      </c>
      <c r="N80" s="43">
        <f>N52*1.3</f>
        <v>124800000</v>
      </c>
      <c r="O80" s="43">
        <f>O52*1</f>
        <v>30000</v>
      </c>
      <c r="P80" s="43">
        <f t="shared" ref="P80:U88" si="33">P52*1</f>
        <v>350</v>
      </c>
      <c r="Q80" s="40">
        <v>0.75</v>
      </c>
      <c r="R80" s="43">
        <f t="shared" si="33"/>
        <v>3200</v>
      </c>
      <c r="S80" s="43">
        <f t="shared" si="33"/>
        <v>100</v>
      </c>
      <c r="T80" s="43">
        <f t="shared" si="33"/>
        <v>200</v>
      </c>
      <c r="U80" s="43">
        <f t="shared" si="33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375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99840000</v>
      </c>
      <c r="M81" s="43">
        <f>M54*1.3</f>
        <v>4992</v>
      </c>
      <c r="N81" s="43">
        <f>N54*1.3</f>
        <v>499200000</v>
      </c>
      <c r="O81" s="43">
        <f t="shared" ref="O81:O88" si="34">O53*1</f>
        <v>30000</v>
      </c>
      <c r="P81" s="43">
        <f t="shared" si="33"/>
        <v>350</v>
      </c>
      <c r="Q81" s="40">
        <v>0.75</v>
      </c>
      <c r="R81" s="43">
        <f t="shared" si="33"/>
        <v>6400</v>
      </c>
      <c r="S81" s="43">
        <f t="shared" si="33"/>
        <v>100</v>
      </c>
      <c r="T81" s="43">
        <f t="shared" si="33"/>
        <v>200</v>
      </c>
      <c r="U81" s="43">
        <f t="shared" si="33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375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34"/>
        <v>30000</v>
      </c>
      <c r="P82" s="43">
        <f t="shared" si="33"/>
        <v>350</v>
      </c>
      <c r="Q82" s="40">
        <v>0.75</v>
      </c>
      <c r="R82" s="43">
        <f t="shared" si="33"/>
        <v>12800</v>
      </c>
      <c r="S82" s="43">
        <f t="shared" si="33"/>
        <v>100</v>
      </c>
      <c r="T82" s="43">
        <f t="shared" si="33"/>
        <v>200</v>
      </c>
      <c r="U82" s="43">
        <f t="shared" si="33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375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34"/>
        <v>30000</v>
      </c>
      <c r="P83" s="43">
        <f t="shared" si="33"/>
        <v>350</v>
      </c>
      <c r="Q83" s="40">
        <v>0.75</v>
      </c>
      <c r="R83" s="43">
        <f t="shared" si="33"/>
        <v>25600</v>
      </c>
      <c r="S83" s="43">
        <f t="shared" si="33"/>
        <v>100</v>
      </c>
      <c r="T83" s="43">
        <f t="shared" si="33"/>
        <v>200</v>
      </c>
      <c r="U83" s="43">
        <f t="shared" si="33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375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34"/>
        <v>30000</v>
      </c>
      <c r="P84" s="43">
        <f t="shared" si="33"/>
        <v>350</v>
      </c>
      <c r="Q84" s="40">
        <v>0.75</v>
      </c>
      <c r="R84" s="43">
        <f t="shared" si="33"/>
        <v>1125</v>
      </c>
      <c r="S84" s="43">
        <f t="shared" si="33"/>
        <v>100</v>
      </c>
      <c r="T84" s="43">
        <f t="shared" si="33"/>
        <v>200</v>
      </c>
      <c r="U84" s="43">
        <f t="shared" si="33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375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34"/>
        <v>30000</v>
      </c>
      <c r="P85" s="43">
        <f t="shared" si="33"/>
        <v>350</v>
      </c>
      <c r="Q85" s="40">
        <v>0.75</v>
      </c>
      <c r="R85" s="43">
        <f t="shared" si="33"/>
        <v>1750</v>
      </c>
      <c r="S85" s="43">
        <f t="shared" si="33"/>
        <v>100</v>
      </c>
      <c r="T85" s="43">
        <f t="shared" si="33"/>
        <v>200</v>
      </c>
      <c r="U85" s="43">
        <f t="shared" si="33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375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34"/>
        <v>30000</v>
      </c>
      <c r="P86" s="43">
        <f t="shared" si="33"/>
        <v>350</v>
      </c>
      <c r="Q86" s="40">
        <v>0.75</v>
      </c>
      <c r="R86" s="43">
        <f t="shared" si="33"/>
        <v>2375</v>
      </c>
      <c r="S86" s="43">
        <f t="shared" si="33"/>
        <v>100</v>
      </c>
      <c r="T86" s="43">
        <f t="shared" si="33"/>
        <v>200</v>
      </c>
      <c r="U86" s="43">
        <f t="shared" si="33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375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34"/>
        <v>30000</v>
      </c>
      <c r="P87" s="43">
        <f t="shared" si="33"/>
        <v>350</v>
      </c>
      <c r="Q87" s="40">
        <v>0.75</v>
      </c>
      <c r="R87" s="43">
        <f t="shared" si="33"/>
        <v>3000</v>
      </c>
      <c r="S87" s="43">
        <f t="shared" si="33"/>
        <v>100</v>
      </c>
      <c r="T87" s="43">
        <f t="shared" si="33"/>
        <v>200</v>
      </c>
      <c r="U87" s="43">
        <f t="shared" si="33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375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34"/>
        <v>30000</v>
      </c>
      <c r="P88" s="43">
        <f t="shared" si="33"/>
        <v>350</v>
      </c>
      <c r="Q88" s="40">
        <v>0.75</v>
      </c>
      <c r="R88" s="43">
        <f t="shared" si="33"/>
        <v>3625</v>
      </c>
      <c r="S88" s="43">
        <f t="shared" si="33"/>
        <v>100</v>
      </c>
      <c r="T88" s="43">
        <f t="shared" si="33"/>
        <v>200</v>
      </c>
      <c r="U88" s="43">
        <f t="shared" si="33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375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168960000</v>
      </c>
      <c r="M89" s="43">
        <f>M55*1.1</f>
        <v>8448</v>
      </c>
      <c r="N89" s="43">
        <f>N55*1.1</f>
        <v>844800000.00000012</v>
      </c>
      <c r="O89" s="43">
        <f>O55*1</f>
        <v>30000</v>
      </c>
      <c r="P89" s="43">
        <f t="shared" ref="P89:Y89" si="35">P55*1</f>
        <v>350</v>
      </c>
      <c r="Q89" s="43">
        <f t="shared" si="35"/>
        <v>0.75</v>
      </c>
      <c r="R89" s="43">
        <f t="shared" si="35"/>
        <v>25600</v>
      </c>
      <c r="S89" s="43">
        <f t="shared" si="35"/>
        <v>100</v>
      </c>
      <c r="T89" s="43">
        <f t="shared" si="35"/>
        <v>200</v>
      </c>
      <c r="U89" s="43">
        <f t="shared" si="35"/>
        <v>100</v>
      </c>
      <c r="V89" s="43">
        <f t="shared" si="35"/>
        <v>0</v>
      </c>
      <c r="W89" s="43">
        <f t="shared" si="35"/>
        <v>0</v>
      </c>
      <c r="X89" s="43">
        <f t="shared" si="35"/>
        <v>0</v>
      </c>
      <c r="Y89" s="43">
        <f t="shared" si="35"/>
        <v>0</v>
      </c>
    </row>
    <row r="90" spans="1:25" ht="15" x14ac:dyDescent="0.15">
      <c r="A90" s="30" t="s">
        <v>301</v>
      </c>
      <c r="B90" s="11" t="s">
        <v>223</v>
      </c>
      <c r="C90" s="12" t="s">
        <v>375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6">P59*1</f>
        <v>350</v>
      </c>
      <c r="Q90" s="43">
        <f t="shared" si="36"/>
        <v>0.75</v>
      </c>
      <c r="R90" s="43">
        <f t="shared" si="36"/>
        <v>3000</v>
      </c>
      <c r="S90" s="43">
        <f t="shared" si="36"/>
        <v>100</v>
      </c>
      <c r="T90" s="43">
        <f t="shared" si="36"/>
        <v>200</v>
      </c>
      <c r="U90" s="43">
        <f t="shared" si="36"/>
        <v>140</v>
      </c>
      <c r="V90" s="43">
        <f t="shared" si="36"/>
        <v>5</v>
      </c>
      <c r="W90" s="43">
        <f t="shared" si="36"/>
        <v>200</v>
      </c>
      <c r="X90" s="43">
        <f t="shared" si="36"/>
        <v>0</v>
      </c>
      <c r="Y90" s="43">
        <f t="shared" si="36"/>
        <v>0</v>
      </c>
    </row>
    <row r="91" spans="1:25" ht="15" x14ac:dyDescent="0.15">
      <c r="A91" s="30" t="s">
        <v>302</v>
      </c>
      <c r="B91" s="11" t="s">
        <v>224</v>
      </c>
      <c r="C91" s="12" t="s">
        <v>375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37">P63*1</f>
        <v>350</v>
      </c>
      <c r="Q91" s="43">
        <f t="shared" si="37"/>
        <v>0.75</v>
      </c>
      <c r="R91" s="43">
        <f t="shared" si="37"/>
        <v>5500</v>
      </c>
      <c r="S91" s="43">
        <f t="shared" si="37"/>
        <v>100</v>
      </c>
      <c r="T91" s="43">
        <f t="shared" si="37"/>
        <v>200</v>
      </c>
      <c r="U91" s="43">
        <f t="shared" si="37"/>
        <v>180</v>
      </c>
      <c r="V91" s="43">
        <f t="shared" si="37"/>
        <v>5</v>
      </c>
      <c r="W91" s="43">
        <f t="shared" si="37"/>
        <v>200</v>
      </c>
      <c r="X91" s="43">
        <f t="shared" si="37"/>
        <v>0</v>
      </c>
      <c r="Y91" s="43">
        <f t="shared" si="37"/>
        <v>0</v>
      </c>
    </row>
    <row r="92" spans="1:25" ht="15" x14ac:dyDescent="0.15">
      <c r="A92" s="30" t="s">
        <v>303</v>
      </c>
      <c r="B92" s="11" t="s">
        <v>225</v>
      </c>
      <c r="C92" s="12" t="s">
        <v>375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38">P69*1</f>
        <v>350</v>
      </c>
      <c r="Q92" s="43">
        <f t="shared" si="38"/>
        <v>0.75</v>
      </c>
      <c r="R92" s="43">
        <f t="shared" si="38"/>
        <v>9250</v>
      </c>
      <c r="S92" s="43">
        <f t="shared" si="38"/>
        <v>100</v>
      </c>
      <c r="T92" s="43">
        <f t="shared" si="38"/>
        <v>200</v>
      </c>
      <c r="U92" s="43">
        <f t="shared" si="38"/>
        <v>240</v>
      </c>
      <c r="V92" s="43">
        <f t="shared" si="38"/>
        <v>5</v>
      </c>
      <c r="W92" s="43">
        <f t="shared" si="38"/>
        <v>200</v>
      </c>
      <c r="X92" s="43">
        <f t="shared" si="38"/>
        <v>5</v>
      </c>
      <c r="Y92" s="43">
        <f t="shared" si="38"/>
        <v>200</v>
      </c>
    </row>
    <row r="93" spans="1:25" ht="15" x14ac:dyDescent="0.15">
      <c r="A93" s="30" t="s">
        <v>304</v>
      </c>
      <c r="B93" s="11" t="s">
        <v>226</v>
      </c>
      <c r="C93" s="12" t="s">
        <v>375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39">P57*1</f>
        <v>350</v>
      </c>
      <c r="Q93" s="43">
        <f t="shared" si="39"/>
        <v>0.75</v>
      </c>
      <c r="R93" s="43">
        <f t="shared" si="39"/>
        <v>1750</v>
      </c>
      <c r="S93" s="43">
        <f t="shared" si="39"/>
        <v>100</v>
      </c>
      <c r="T93" s="43">
        <f t="shared" si="39"/>
        <v>200</v>
      </c>
      <c r="U93" s="43">
        <f t="shared" si="39"/>
        <v>120</v>
      </c>
      <c r="V93" s="43">
        <f t="shared" si="39"/>
        <v>5</v>
      </c>
      <c r="W93" s="43">
        <f t="shared" si="39"/>
        <v>200</v>
      </c>
      <c r="X93" s="43">
        <f t="shared" si="39"/>
        <v>0</v>
      </c>
      <c r="Y93" s="43">
        <f t="shared" si="39"/>
        <v>0</v>
      </c>
    </row>
    <row r="94" spans="1:25" ht="15" x14ac:dyDescent="0.15">
      <c r="A94" s="30" t="s">
        <v>305</v>
      </c>
      <c r="B94" s="11" t="s">
        <v>227</v>
      </c>
      <c r="C94" s="12" t="s">
        <v>375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40">P61*1</f>
        <v>350</v>
      </c>
      <c r="Q94" s="43">
        <f t="shared" si="40"/>
        <v>0.75</v>
      </c>
      <c r="R94" s="43">
        <f t="shared" si="40"/>
        <v>4250</v>
      </c>
      <c r="S94" s="43">
        <f t="shared" si="40"/>
        <v>100</v>
      </c>
      <c r="T94" s="43">
        <f t="shared" si="40"/>
        <v>200</v>
      </c>
      <c r="U94" s="43">
        <f t="shared" si="40"/>
        <v>160</v>
      </c>
      <c r="V94" s="43">
        <f t="shared" si="40"/>
        <v>5</v>
      </c>
      <c r="W94" s="43">
        <f t="shared" si="40"/>
        <v>200</v>
      </c>
      <c r="X94" s="43">
        <f t="shared" si="40"/>
        <v>0</v>
      </c>
      <c r="Y94" s="43">
        <f t="shared" si="40"/>
        <v>0</v>
      </c>
    </row>
    <row r="95" spans="1:25" ht="15" x14ac:dyDescent="0.15">
      <c r="A95" s="30" t="s">
        <v>306</v>
      </c>
      <c r="B95" s="11" t="s">
        <v>228</v>
      </c>
      <c r="C95" s="12" t="s">
        <v>375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41">P65*1</f>
        <v>350</v>
      </c>
      <c r="Q95" s="43">
        <f t="shared" si="41"/>
        <v>0.75</v>
      </c>
      <c r="R95" s="43">
        <f t="shared" si="41"/>
        <v>6750</v>
      </c>
      <c r="S95" s="43">
        <f t="shared" si="41"/>
        <v>100</v>
      </c>
      <c r="T95" s="43">
        <f t="shared" si="41"/>
        <v>200</v>
      </c>
      <c r="U95" s="43">
        <f t="shared" si="41"/>
        <v>200</v>
      </c>
      <c r="V95" s="43">
        <f t="shared" si="41"/>
        <v>5</v>
      </c>
      <c r="W95" s="43">
        <f t="shared" si="41"/>
        <v>200</v>
      </c>
      <c r="X95" s="43">
        <f t="shared" si="41"/>
        <v>5</v>
      </c>
      <c r="Y95" s="43">
        <f t="shared" si="41"/>
        <v>200</v>
      </c>
    </row>
    <row r="96" spans="1:25" ht="15" x14ac:dyDescent="0.15">
      <c r="A96" s="30" t="s">
        <v>307</v>
      </c>
      <c r="B96" s="11" t="s">
        <v>229</v>
      </c>
      <c r="C96" s="12" t="s">
        <v>375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42">P69*1</f>
        <v>350</v>
      </c>
      <c r="Q96" s="43">
        <f t="shared" si="42"/>
        <v>0.75</v>
      </c>
      <c r="R96" s="43">
        <f t="shared" si="42"/>
        <v>9250</v>
      </c>
      <c r="S96" s="43">
        <f t="shared" si="42"/>
        <v>100</v>
      </c>
      <c r="T96" s="43">
        <f t="shared" si="42"/>
        <v>200</v>
      </c>
      <c r="U96" s="43">
        <f t="shared" si="42"/>
        <v>240</v>
      </c>
      <c r="V96" s="43">
        <f t="shared" si="42"/>
        <v>5</v>
      </c>
      <c r="W96" s="43">
        <f t="shared" si="42"/>
        <v>200</v>
      </c>
      <c r="X96" s="43">
        <f t="shared" si="42"/>
        <v>5</v>
      </c>
      <c r="Y96" s="43">
        <f t="shared" si="42"/>
        <v>200</v>
      </c>
    </row>
    <row r="97" spans="1:25" ht="15" x14ac:dyDescent="0.15">
      <c r="A97" s="30" t="s">
        <v>308</v>
      </c>
      <c r="B97" s="11" t="s">
        <v>230</v>
      </c>
      <c r="C97" s="12" t="s">
        <v>355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8</v>
      </c>
      <c r="M97" s="43">
        <f>M4/2</f>
        <v>2.5</v>
      </c>
      <c r="N97" s="43">
        <v>100</v>
      </c>
      <c r="O97" s="43">
        <f>O4</f>
        <v>100</v>
      </c>
      <c r="P97" s="43">
        <f t="shared" ref="P97:Y97" si="43">P4</f>
        <v>350</v>
      </c>
      <c r="Q97" s="43">
        <f t="shared" si="43"/>
        <v>1</v>
      </c>
      <c r="R97" s="43">
        <f t="shared" si="43"/>
        <v>10</v>
      </c>
      <c r="S97" s="43">
        <f t="shared" si="43"/>
        <v>1</v>
      </c>
      <c r="T97" s="43">
        <f t="shared" si="43"/>
        <v>200</v>
      </c>
      <c r="U97" s="43">
        <f t="shared" si="43"/>
        <v>10</v>
      </c>
      <c r="V97" s="43">
        <f t="shared" si="43"/>
        <v>0</v>
      </c>
      <c r="W97" s="43">
        <f t="shared" si="43"/>
        <v>0</v>
      </c>
      <c r="X97" s="43">
        <f t="shared" si="43"/>
        <v>0</v>
      </c>
      <c r="Y97" s="43">
        <f t="shared" si="43"/>
        <v>0</v>
      </c>
    </row>
    <row r="98" spans="1:25" ht="15" x14ac:dyDescent="0.15">
      <c r="A98" s="3" t="s">
        <v>353</v>
      </c>
      <c r="B98" s="11" t="s">
        <v>354</v>
      </c>
      <c r="C98" s="12" t="s">
        <v>375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400</v>
      </c>
      <c r="M98" s="43">
        <f t="shared" ref="M98:Y98" si="44">M4</f>
        <v>5</v>
      </c>
      <c r="N98" s="43">
        <v>25000</v>
      </c>
      <c r="O98" s="43">
        <f t="shared" si="44"/>
        <v>100</v>
      </c>
      <c r="P98" s="43">
        <f t="shared" si="44"/>
        <v>350</v>
      </c>
      <c r="Q98" s="43">
        <f t="shared" si="44"/>
        <v>1</v>
      </c>
      <c r="R98" s="43">
        <f t="shared" si="44"/>
        <v>10</v>
      </c>
      <c r="S98" s="43">
        <f t="shared" si="44"/>
        <v>1</v>
      </c>
      <c r="T98" s="43">
        <v>400</v>
      </c>
      <c r="U98" s="43">
        <f t="shared" si="44"/>
        <v>10</v>
      </c>
      <c r="V98" s="43">
        <f t="shared" si="44"/>
        <v>0</v>
      </c>
      <c r="W98" s="43">
        <f t="shared" si="44"/>
        <v>0</v>
      </c>
      <c r="X98" s="43">
        <f t="shared" si="44"/>
        <v>0</v>
      </c>
      <c r="Y98" s="43">
        <f t="shared" si="44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  <c r="K106" s="6"/>
    </row>
    <row r="107" spans="1:25" ht="15" x14ac:dyDescent="0.15">
      <c r="A107" s="18"/>
      <c r="B107" s="11"/>
      <c r="C107" s="7"/>
      <c r="K107" s="6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  <ignoredErrors>
    <ignoredError sqref="M4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2019-05-30T06:39:52Z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