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9F4D9765-4364-4A95-BC54-8A678ABA1764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39" i="29" l="1"/>
  <c r="N45" i="29"/>
  <c r="M45" i="29"/>
  <c r="N44" i="29"/>
  <c r="M44" i="29"/>
  <c r="M41" i="29" s="1"/>
  <c r="N41" i="29"/>
  <c r="N40" i="29"/>
  <c r="N36" i="29" l="1"/>
  <c r="N37" i="29" l="1"/>
  <c r="N38" i="29" s="1"/>
  <c r="N39" i="29" s="1"/>
  <c r="N43" i="29" l="1"/>
  <c r="N42" i="29" s="1"/>
  <c r="N54" i="29"/>
  <c r="N55" i="29" s="1"/>
  <c r="N56" i="29" s="1"/>
  <c r="N53" i="29"/>
  <c r="N47" i="29"/>
  <c r="O9" i="29"/>
  <c r="O10" i="29"/>
  <c r="O4" i="29"/>
  <c r="O43" i="29" l="1"/>
  <c r="O40" i="29" l="1"/>
  <c r="O44" i="29" s="1"/>
  <c r="O41" i="29" s="1"/>
  <c r="O45" i="29" s="1"/>
  <c r="O42" i="29" s="1"/>
  <c r="O71" i="29"/>
  <c r="N72" i="29"/>
  <c r="N76" i="29" l="1"/>
  <c r="M71" i="29"/>
  <c r="N51" i="29"/>
  <c r="O51" i="29"/>
  <c r="N49" i="29"/>
  <c r="O49" i="29"/>
  <c r="O47" i="29"/>
  <c r="N9" i="29" l="1"/>
  <c r="N10" i="29" s="1"/>
  <c r="N11" i="29" s="1"/>
  <c r="N12" i="29" s="1"/>
  <c r="N13" i="29" s="1"/>
  <c r="N14" i="29" s="1"/>
  <c r="M9" i="29"/>
  <c r="O11" i="29" l="1"/>
  <c r="O12" i="29" s="1"/>
  <c r="O13" i="29" s="1"/>
  <c r="N15" i="29"/>
  <c r="O14" i="29" l="1"/>
  <c r="O15" i="29" s="1"/>
  <c r="O30" i="29"/>
  <c r="N16" i="29"/>
  <c r="N17" i="29" s="1"/>
  <c r="N18" i="29" s="1"/>
  <c r="N19" i="29" s="1"/>
  <c r="N20" i="29" s="1"/>
  <c r="M43" i="29"/>
  <c r="M40" i="29" s="1"/>
  <c r="M42" i="29" s="1"/>
  <c r="N21" i="29" l="1"/>
  <c r="N22" i="29" s="1"/>
  <c r="N23" i="29" s="1"/>
  <c r="N24" i="29" s="1"/>
  <c r="N25" i="29" s="1"/>
  <c r="N26" i="29" s="1"/>
  <c r="N27" i="29" s="1"/>
  <c r="N28" i="29" s="1"/>
  <c r="N79" i="29"/>
  <c r="N80" i="29"/>
  <c r="N57" i="29"/>
  <c r="N58" i="29" s="1"/>
  <c r="O16" i="29"/>
  <c r="O17" i="29" s="1"/>
  <c r="O18" i="29" s="1"/>
  <c r="O19" i="29" s="1"/>
  <c r="O20" i="29" s="1"/>
  <c r="N29" i="29"/>
  <c r="O29" i="29"/>
  <c r="N30" i="29"/>
  <c r="N59" i="29" l="1"/>
  <c r="N81" i="29"/>
  <c r="N93" i="29" s="1"/>
  <c r="N89" i="29" s="1"/>
  <c r="N32" i="29"/>
  <c r="N33" i="29" s="1"/>
  <c r="N34" i="29" s="1"/>
  <c r="O21" i="29"/>
  <c r="O22" i="29" s="1"/>
  <c r="O23" i="29" s="1"/>
  <c r="O31" i="29"/>
  <c r="N31" i="29"/>
  <c r="O24" i="29" l="1"/>
  <c r="O25" i="29" s="1"/>
  <c r="O26" i="29" s="1"/>
  <c r="O27" i="29" s="1"/>
  <c r="O28" i="29" s="1"/>
  <c r="N60" i="29"/>
  <c r="N61" i="29" s="1"/>
  <c r="N83" i="29" s="1"/>
  <c r="N94" i="29" s="1"/>
  <c r="N90" i="29" s="1"/>
  <c r="N82" i="29"/>
  <c r="O32" i="29"/>
  <c r="O33" i="29" s="1"/>
  <c r="O34" i="29" s="1"/>
  <c r="R111" i="29"/>
  <c r="R112" i="29" s="1"/>
  <c r="Y111" i="29"/>
  <c r="Y112" i="29" s="1"/>
  <c r="N73" i="29" l="1"/>
  <c r="N62" i="29"/>
  <c r="N63" i="29" s="1"/>
  <c r="Y99" i="29"/>
  <c r="R99" i="29"/>
  <c r="Q99" i="29"/>
  <c r="P99" i="29"/>
  <c r="N100" i="29" l="1"/>
  <c r="N64" i="29"/>
  <c r="N65" i="29" s="1"/>
  <c r="N77" i="29"/>
  <c r="N84" i="29"/>
  <c r="Y97" i="29"/>
  <c r="R97" i="29"/>
  <c r="P97" i="29"/>
  <c r="Y94" i="29"/>
  <c r="R92" i="29"/>
  <c r="R91" i="29"/>
  <c r="Y90" i="29"/>
  <c r="R90" i="29"/>
  <c r="Y89" i="29"/>
  <c r="R89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U97" i="29" s="1"/>
  <c r="Q67" i="29"/>
  <c r="Q97" i="29" s="1"/>
  <c r="P67" i="29"/>
  <c r="U66" i="29"/>
  <c r="Q66" i="29"/>
  <c r="P66" i="29"/>
  <c r="U65" i="29"/>
  <c r="U95" i="29" s="1"/>
  <c r="Q65" i="29"/>
  <c r="Q95" i="29" s="1"/>
  <c r="P65" i="29"/>
  <c r="P95" i="29" s="1"/>
  <c r="U63" i="29"/>
  <c r="Q63" i="29"/>
  <c r="P63" i="29"/>
  <c r="U61" i="29"/>
  <c r="U94" i="29" s="1"/>
  <c r="Q61" i="29"/>
  <c r="Q94" i="29" s="1"/>
  <c r="P61" i="29"/>
  <c r="P94" i="29" s="1"/>
  <c r="U57" i="29"/>
  <c r="Q57" i="29"/>
  <c r="Q85" i="29" s="1"/>
  <c r="P57" i="29"/>
  <c r="U56" i="29"/>
  <c r="U84" i="29" s="1"/>
  <c r="Q56" i="29"/>
  <c r="Q84" i="29" s="1"/>
  <c r="P56" i="29"/>
  <c r="P84" i="29" s="1"/>
  <c r="U55" i="29"/>
  <c r="P55" i="29"/>
  <c r="U53" i="29"/>
  <c r="U81" i="29" s="1"/>
  <c r="U42" i="29" s="1"/>
  <c r="U37" i="29" s="1"/>
  <c r="Q53" i="29"/>
  <c r="Q81" i="29" s="1"/>
  <c r="Q42" i="29" s="1"/>
  <c r="Q37" i="29" s="1"/>
  <c r="P53" i="29"/>
  <c r="P81" i="29" s="1"/>
  <c r="P42" i="29" s="1"/>
  <c r="P37" i="29" s="1"/>
  <c r="U52" i="29"/>
  <c r="U80" i="29" s="1"/>
  <c r="U43" i="29" s="1"/>
  <c r="Q52" i="29"/>
  <c r="Q80" i="29" s="1"/>
  <c r="P52" i="29"/>
  <c r="P80" i="29" s="1"/>
  <c r="U51" i="29"/>
  <c r="U49" i="29"/>
  <c r="Q49" i="29"/>
  <c r="Q75" i="29" s="1"/>
  <c r="P49" i="29"/>
  <c r="U47" i="29"/>
  <c r="Q47" i="29"/>
  <c r="P47" i="29"/>
  <c r="V45" i="29"/>
  <c r="U45" i="29"/>
  <c r="R45" i="29"/>
  <c r="Q45" i="29"/>
  <c r="P45" i="29"/>
  <c r="R44" i="29"/>
  <c r="Q44" i="29"/>
  <c r="P44" i="29"/>
  <c r="Y43" i="29"/>
  <c r="R43" i="29"/>
  <c r="Q43" i="29"/>
  <c r="P43" i="29"/>
  <c r="R42" i="29"/>
  <c r="V41" i="29"/>
  <c r="R41" i="29"/>
  <c r="R40" i="29"/>
  <c r="V39" i="29"/>
  <c r="R39" i="29"/>
  <c r="R38" i="29"/>
  <c r="R37" i="29"/>
  <c r="R36" i="29"/>
  <c r="R35" i="29"/>
  <c r="V33" i="29"/>
  <c r="V31" i="29"/>
  <c r="V30" i="29"/>
  <c r="V29" i="29"/>
  <c r="N85" i="29" l="1"/>
  <c r="N86" i="29" s="1"/>
  <c r="N87" i="29" s="1"/>
  <c r="N96" i="29" s="1"/>
  <c r="N92" i="29" s="1"/>
  <c r="N74" i="29"/>
  <c r="N111" i="29" s="1"/>
  <c r="N112" i="29" s="1"/>
  <c r="N113" i="29" s="1"/>
  <c r="N114" i="29" s="1"/>
  <c r="N78" i="29"/>
  <c r="U75" i="29"/>
  <c r="Q51" i="29"/>
  <c r="P75" i="29"/>
  <c r="V42" i="29"/>
  <c r="V37" i="29" s="1"/>
  <c r="Q55" i="29"/>
  <c r="Q73" i="29" s="1"/>
  <c r="P73" i="29"/>
  <c r="P51" i="29"/>
  <c r="P60" i="29"/>
  <c r="P88" i="29" s="1"/>
  <c r="P59" i="29" s="1"/>
  <c r="P87" i="29" s="1"/>
  <c r="P92" i="29"/>
  <c r="U44" i="29"/>
  <c r="Q60" i="29"/>
  <c r="Q74" i="29" s="1"/>
  <c r="Q92" i="29"/>
  <c r="U91" i="29"/>
  <c r="U36" i="29" s="1"/>
  <c r="V111" i="29"/>
  <c r="V36" i="29"/>
  <c r="Q96" i="29"/>
  <c r="U83" i="29"/>
  <c r="U35" i="29" s="1"/>
  <c r="U73" i="29"/>
  <c r="P96" i="29"/>
  <c r="S4" i="29"/>
  <c r="U85" i="29"/>
  <c r="U96" i="29"/>
  <c r="U92" i="29"/>
  <c r="P90" i="29"/>
  <c r="P38" i="29" s="1"/>
  <c r="P76" i="29"/>
  <c r="P83" i="29"/>
  <c r="P85" i="29"/>
  <c r="S8" i="29"/>
  <c r="Q76" i="29"/>
  <c r="U76" i="29"/>
  <c r="Q88" i="29" l="1"/>
  <c r="Q59" i="29" s="1"/>
  <c r="N95" i="29"/>
  <c r="N91" i="29" s="1"/>
  <c r="N88" i="29"/>
  <c r="N109" i="29" s="1"/>
  <c r="V40" i="29"/>
  <c r="Q83" i="29"/>
  <c r="Q35" i="29" s="1"/>
  <c r="P74" i="29"/>
  <c r="P111" i="29" s="1"/>
  <c r="P91" i="29" s="1"/>
  <c r="P36" i="29" s="1"/>
  <c r="P54" i="29"/>
  <c r="U46" i="29"/>
  <c r="U41" i="29"/>
  <c r="P35" i="29"/>
  <c r="Q111" i="29"/>
  <c r="Q112" i="29" s="1"/>
  <c r="Q54" i="29"/>
  <c r="Q82" i="29" s="1"/>
  <c r="Q72" i="29" s="1"/>
  <c r="P62" i="29"/>
  <c r="P40" i="29" s="1"/>
  <c r="P50" i="29"/>
  <c r="P79" i="29" s="1"/>
  <c r="P39" i="29" s="1"/>
  <c r="V44" i="29"/>
  <c r="P46" i="29"/>
  <c r="P41" i="29"/>
  <c r="Q62" i="29"/>
  <c r="Q40" i="29" s="1"/>
  <c r="Q50" i="29"/>
  <c r="Q79" i="29" s="1"/>
  <c r="Q39" i="29" s="1"/>
  <c r="V38" i="29"/>
  <c r="Q46" i="29"/>
  <c r="Q41" i="29"/>
  <c r="P58" i="29"/>
  <c r="U62" i="29"/>
  <c r="U50" i="29"/>
  <c r="U89" i="29"/>
  <c r="P86" i="29"/>
  <c r="U60" i="29"/>
  <c r="Q100" i="29"/>
  <c r="Q64" i="29"/>
  <c r="Q78" i="29" s="1"/>
  <c r="U64" i="29"/>
  <c r="U78" i="29" s="1"/>
  <c r="V78" i="29"/>
  <c r="P64" i="29"/>
  <c r="P78" i="29" s="1"/>
  <c r="Q91" i="29"/>
  <c r="Q36" i="29" s="1"/>
  <c r="Q87" i="29" l="1"/>
  <c r="Q90" i="29"/>
  <c r="Q38" i="29" s="1"/>
  <c r="P112" i="29"/>
  <c r="P77" i="29"/>
  <c r="P89" i="29"/>
  <c r="P82" i="29"/>
  <c r="P72" i="29" s="1"/>
  <c r="P100" i="29" s="1"/>
  <c r="U79" i="29"/>
  <c r="U39" i="29" s="1"/>
  <c r="U88" i="29"/>
  <c r="U59" i="29" s="1"/>
  <c r="U74" i="29"/>
  <c r="U90" i="29" l="1"/>
  <c r="U38" i="29" s="1"/>
  <c r="U87" i="29"/>
  <c r="U111" i="29"/>
  <c r="U112" i="29" s="1"/>
  <c r="U54" i="29"/>
  <c r="U82" i="29" l="1"/>
  <c r="U72" i="29" s="1"/>
  <c r="U100" i="29" s="1"/>
  <c r="U40" i="29"/>
  <c r="M47" i="29"/>
  <c r="U113" i="29"/>
  <c r="U93" i="29" s="1"/>
  <c r="U48" i="29" s="1"/>
  <c r="U71" i="29" s="1"/>
  <c r="U58" i="29" s="1"/>
  <c r="P113" i="29"/>
  <c r="P114" i="29" s="1"/>
  <c r="U86" i="29" l="1"/>
  <c r="U77" i="29"/>
  <c r="U114" i="29"/>
  <c r="P98" i="29"/>
  <c r="P93" i="29"/>
  <c r="P48" i="29" s="1"/>
  <c r="P71" i="29" s="1"/>
  <c r="V32" i="29" l="1"/>
  <c r="V71" i="29" s="1"/>
  <c r="V35" i="29" l="1"/>
  <c r="V100" i="29" l="1"/>
  <c r="V112" i="29"/>
  <c r="V113" i="29" l="1"/>
  <c r="V114" i="29" s="1"/>
  <c r="S35" i="29" l="1"/>
  <c r="M29" i="29"/>
  <c r="M49" i="29"/>
  <c r="R113" i="29"/>
  <c r="R114" i="29" s="1"/>
  <c r="Y113" i="29"/>
  <c r="Y114" i="29" s="1"/>
  <c r="Q113" i="29"/>
  <c r="Q114" i="29" s="1"/>
  <c r="S9" i="29"/>
  <c r="S51" i="29" s="1"/>
  <c r="S72" i="29" s="1"/>
  <c r="S100" i="29" s="1"/>
  <c r="M10" i="29"/>
  <c r="M11" i="29" s="1"/>
  <c r="M12" i="29" s="1"/>
  <c r="S98" i="29"/>
  <c r="S97" i="29"/>
  <c r="Q58" i="29"/>
  <c r="Q77" i="29" s="1"/>
  <c r="Q89" i="29"/>
  <c r="S29" i="29"/>
  <c r="Q93" i="29"/>
  <c r="Q98" i="29"/>
  <c r="Q48" i="29"/>
  <c r="Q71" i="29" s="1"/>
  <c r="R98" i="29"/>
  <c r="Y93" i="29"/>
  <c r="Y98" i="29"/>
  <c r="M14" i="29" l="1"/>
  <c r="M15" i="29" s="1"/>
  <c r="M13" i="29"/>
  <c r="S10" i="29"/>
  <c r="S52" i="29" s="1"/>
  <c r="S80" i="29" s="1"/>
  <c r="S43" i="29" s="1"/>
  <c r="M51" i="29"/>
  <c r="M52" i="29" s="1"/>
  <c r="M53" i="29" s="1"/>
  <c r="M16" i="29"/>
  <c r="M17" i="29" s="1"/>
  <c r="M18" i="29" s="1"/>
  <c r="M19" i="29" s="1"/>
  <c r="M20" i="29" s="1"/>
  <c r="Q86" i="29"/>
  <c r="M79" i="29" l="1"/>
  <c r="M54" i="29"/>
  <c r="M31" i="29"/>
  <c r="M30" i="29" s="1"/>
  <c r="S11" i="29"/>
  <c r="S53" i="29" s="1"/>
  <c r="M72" i="29" l="1"/>
  <c r="M55" i="29"/>
  <c r="M80" i="29" s="1"/>
  <c r="S12" i="29"/>
  <c r="S54" i="29" s="1"/>
  <c r="S82" i="29" s="1"/>
  <c r="S76" i="29"/>
  <c r="S46" i="29" s="1"/>
  <c r="S81" i="29"/>
  <c r="M21" i="29"/>
  <c r="M22" i="29" s="1"/>
  <c r="M23" i="29" s="1"/>
  <c r="M32" i="29" l="1"/>
  <c r="M33" i="29" s="1"/>
  <c r="M34" i="29" s="1"/>
  <c r="M24" i="29"/>
  <c r="M25" i="29" s="1"/>
  <c r="M26" i="29" s="1"/>
  <c r="M27" i="29" s="1"/>
  <c r="M28" i="29" s="1"/>
  <c r="M56" i="29"/>
  <c r="M57" i="29" s="1"/>
  <c r="M58" i="29" s="1"/>
  <c r="M76" i="29"/>
  <c r="M66" i="29"/>
  <c r="M81" i="29"/>
  <c r="M93" i="29" s="1"/>
  <c r="M89" i="29" s="1"/>
  <c r="O52" i="29"/>
  <c r="O53" i="29" s="1"/>
  <c r="S13" i="29"/>
  <c r="S55" i="29" s="1"/>
  <c r="S73" i="29" s="1"/>
  <c r="S30" i="29"/>
  <c r="O79" i="29" l="1"/>
  <c r="O54" i="29"/>
  <c r="M59" i="29"/>
  <c r="M60" i="29" s="1"/>
  <c r="M82" i="29"/>
  <c r="S14" i="29"/>
  <c r="M67" i="29"/>
  <c r="O55" i="29" l="1"/>
  <c r="O56" i="29" s="1"/>
  <c r="O72" i="29"/>
  <c r="M61" i="29"/>
  <c r="S56" i="29"/>
  <c r="S84" i="29" s="1"/>
  <c r="S40" i="29"/>
  <c r="S44" i="29"/>
  <c r="S15" i="29"/>
  <c r="S57" i="29" s="1"/>
  <c r="M68" i="29"/>
  <c r="O80" i="29" l="1"/>
  <c r="M62" i="29"/>
  <c r="M73" i="29"/>
  <c r="M100" i="29"/>
  <c r="M83" i="29"/>
  <c r="M94" i="29" s="1"/>
  <c r="M90" i="29" s="1"/>
  <c r="M69" i="29"/>
  <c r="M70" i="29"/>
  <c r="S85" i="29"/>
  <c r="S93" i="29"/>
  <c r="O76" i="29"/>
  <c r="O57" i="29"/>
  <c r="O58" i="29" s="1"/>
  <c r="S16" i="29"/>
  <c r="S41" i="29" s="1"/>
  <c r="O81" i="29" l="1"/>
  <c r="O93" i="29" s="1"/>
  <c r="O89" i="29" s="1"/>
  <c r="M63" i="29"/>
  <c r="O59" i="29"/>
  <c r="O60" i="29" s="1"/>
  <c r="S17" i="29"/>
  <c r="S59" i="29" s="1"/>
  <c r="M77" i="29" l="1"/>
  <c r="M64" i="29"/>
  <c r="M65" i="29" s="1"/>
  <c r="O61" i="29"/>
  <c r="M84" i="29"/>
  <c r="O82" i="29"/>
  <c r="S87" i="29"/>
  <c r="S90" i="29"/>
  <c r="S38" i="29" s="1"/>
  <c r="S31" i="29"/>
  <c r="S18" i="29"/>
  <c r="M85" i="29" l="1"/>
  <c r="M95" i="29" s="1"/>
  <c r="M91" i="29" s="1"/>
  <c r="M78" i="29"/>
  <c r="M74" i="29"/>
  <c r="M111" i="29" s="1"/>
  <c r="M112" i="29" s="1"/>
  <c r="M113" i="29" s="1"/>
  <c r="M114" i="29" s="1"/>
  <c r="O73" i="29"/>
  <c r="O62" i="29"/>
  <c r="O63" i="29" s="1"/>
  <c r="O64" i="29" s="1"/>
  <c r="M86" i="29"/>
  <c r="M87" i="29" s="1"/>
  <c r="M88" i="29" s="1"/>
  <c r="O83" i="29"/>
  <c r="O94" i="29" s="1"/>
  <c r="O90" i="29" s="1"/>
  <c r="S19" i="29"/>
  <c r="S61" i="29" s="1"/>
  <c r="S94" i="29" s="1"/>
  <c r="S60" i="29"/>
  <c r="S42" i="29"/>
  <c r="S37" i="29" s="1"/>
  <c r="M96" i="29" l="1"/>
  <c r="M92" i="29" s="1"/>
  <c r="O100" i="29"/>
  <c r="S20" i="29"/>
  <c r="S62" i="29" s="1"/>
  <c r="S88" i="29"/>
  <c r="S74" i="29"/>
  <c r="S111" i="29" s="1"/>
  <c r="S112" i="29" s="1"/>
  <c r="S113" i="29" s="1"/>
  <c r="S114" i="29" s="1"/>
  <c r="M109" i="29"/>
  <c r="O65" i="29" l="1"/>
  <c r="O84" i="29"/>
  <c r="O77" i="29"/>
  <c r="S21" i="29"/>
  <c r="S63" i="29" s="1"/>
  <c r="S91" i="29" s="1"/>
  <c r="O85" i="29" l="1"/>
  <c r="O74" i="29"/>
  <c r="O86" i="29"/>
  <c r="O87" i="29" s="1"/>
  <c r="O95" i="29"/>
  <c r="O91" i="29" s="1"/>
  <c r="O111" i="29"/>
  <c r="O112" i="29" s="1"/>
  <c r="O113" i="29" s="1"/>
  <c r="O114" i="29" s="1"/>
  <c r="O78" i="29"/>
  <c r="S22" i="29"/>
  <c r="S64" i="29" s="1"/>
  <c r="S78" i="29" s="1"/>
  <c r="O88" i="29" l="1"/>
  <c r="O109" i="29" s="1"/>
  <c r="O96" i="29"/>
  <c r="O92" i="29" s="1"/>
  <c r="S23" i="29"/>
  <c r="S65" i="29" l="1"/>
  <c r="S95" i="29" s="1"/>
  <c r="S45" i="29"/>
  <c r="O66" i="29"/>
  <c r="S24" i="29"/>
  <c r="S66" i="29" s="1"/>
  <c r="O67" i="29" l="1"/>
  <c r="S25" i="29"/>
  <c r="S67" i="29" s="1"/>
  <c r="S26" i="29" l="1"/>
  <c r="S68" i="29" s="1"/>
  <c r="S83" i="29" s="1"/>
  <c r="O68" i="29"/>
  <c r="O69" i="29" l="1"/>
  <c r="S27" i="29"/>
  <c r="S69" i="29" s="1"/>
  <c r="S96" i="29" l="1"/>
  <c r="S58" i="29" s="1"/>
  <c r="S92" i="29"/>
  <c r="O70" i="29"/>
  <c r="S32" i="29" s="1"/>
  <c r="S28" i="29"/>
  <c r="S70" i="29" s="1"/>
  <c r="S33" i="29" l="1"/>
  <c r="S50" i="29" s="1"/>
  <c r="S79" i="29" s="1"/>
  <c r="S39" i="29" s="1"/>
  <c r="S34" i="29"/>
  <c r="S89" i="29"/>
  <c r="S86" i="29"/>
  <c r="S77" i="29"/>
  <c r="M5" i="29"/>
  <c r="M6" i="29" s="1"/>
  <c r="M7" i="29" s="1"/>
  <c r="O5" i="29" l="1"/>
  <c r="M37" i="29"/>
  <c r="O6" i="29" l="1"/>
  <c r="O37" i="29"/>
  <c r="S5" i="29"/>
  <c r="S99" i="29" l="1"/>
  <c r="S47" i="29"/>
  <c r="O7" i="29"/>
  <c r="S7" i="29" s="1"/>
  <c r="S49" i="29" s="1"/>
  <c r="S75" i="29" s="1"/>
  <c r="S6" i="29"/>
  <c r="S48" i="29" l="1"/>
  <c r="S71" i="29" s="1"/>
  <c r="S36" i="29"/>
</calcChain>
</file>

<file path=xl/sharedStrings.xml><?xml version="1.0" encoding="utf-8"?>
<sst xmlns="http://schemas.openxmlformats.org/spreadsheetml/2006/main" count="865" uniqueCount="441">
  <si>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</si>
  <si>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</si>
  <si>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</si>
  <si>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</si>
  <si>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</si>
  <si>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</si>
  <si>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</si>
  <si>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</si>
  <si>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</si>
  <si>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</si>
  <si>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</si>
  <si>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</si>
  <si>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</si>
  <si>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</si>
  <si>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</si>
  <si>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</si>
  <si>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</si>
  <si>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</si>
  <si>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</si>
  <si>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</si>
  <si>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</si>
  <si>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</si>
  <si>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</si>
  <si>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</si>
  <si>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</si>
  <si>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</si>
  <si>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</si>
  <si>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</si>
  <si>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</si>
  <si>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</si>
  <si>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</si>
  <si>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</si>
  <si>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</si>
  <si>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</si>
  <si>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</si>
  <si>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</si>
  <si>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</si>
  <si>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</si>
  <si>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</si>
  <si>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</si>
  <si>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</si>
  <si>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</si>
  <si>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</si>
  <si>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</si>
  <si>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</si>
  <si>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</si>
  <si>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</si>
  <si>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</si>
  <si>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</si>
  <si>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</si>
  <si>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</si>
  <si>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</si>
  <si>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</si>
  <si>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</si>
  <si>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</si>
  <si>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</si>
  <si>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</si>
  <si>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</si>
  <si>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</si>
  <si>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</si>
  <si>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</si>
  <si>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</si>
  <si>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</si>
  <si>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</si>
  <si>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</si>
  <si>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</si>
  <si>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</si>
  <si>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</si>
  <si>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</si>
  <si>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</si>
  <si>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</si>
  <si>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</si>
  <si>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</si>
  <si>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</si>
  <si>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</si>
  <si>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</si>
  <si>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</si>
  <si>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</si>
  <si>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</si>
  <si>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</si>
  <si>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</si>
  <si>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</si>
  <si>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</si>
  <si>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</si>
  <si>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</si>
  <si>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</si>
  <si>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</si>
  <si>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</si>
  <si>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</si>
  <si>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</si>
  <si>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</si>
  <si>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</si>
  <si>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</si>
  <si>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</si>
  <si>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</si>
  <si>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</si>
  <si>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</si>
  <si>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</si>
  <si>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</si>
  <si>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</si>
  <si>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</si>
  <si>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</si>
  <si>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</si>
  <si>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</si>
  <si>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</si>
  <si>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</si>
  <si>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</si>
  <si>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</si>
  <si>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</si>
  <si>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</si>
  <si>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</si>
  <si>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</si>
  <si>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</si>
  <si>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</si>
  <si>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</si>
  <si>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</si>
  <si>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</si>
  <si>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</si>
  <si>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</si>
  <si>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</si>
  <si>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</si>
  <si>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</si>
  <si>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</si>
  <si>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</si>
  <si>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</si>
  <si>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</si>
  <si>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</si>
  <si>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</si>
  <si>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</si>
  <si>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</si>
  <si>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</si>
  <si>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</si>
  <si>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</si>
  <si>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</si>
  <si>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</si>
  <si>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</si>
  <si>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</si>
  <si>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</si>
  <si>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</si>
  <si>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</si>
  <si>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</si>
  <si>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</si>
  <si>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</si>
  <si>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</si>
  <si>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</si>
  <si>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</si>
  <si>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</si>
  <si>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</si>
  <si>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</si>
  <si>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</si>
  <si>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</si>
  <si>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</si>
  <si>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</si>
  <si>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</si>
  <si>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</si>
  <si>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</si>
  <si>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</si>
  <si>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</si>
  <si>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</si>
  <si>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</si>
  <si>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</si>
  <si>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</si>
  <si>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</si>
  <si>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</si>
  <si>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</si>
  <si>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</si>
  <si>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</si>
  <si>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</si>
  <si>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</si>
  <si>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</si>
  <si>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</si>
  <si>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</si>
  <si>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</si>
  <si>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</si>
  <si>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</si>
  <si>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</si>
  <si>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</si>
  <si>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</si>
  <si>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</si>
  <si>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</si>
  <si>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</si>
  <si>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</si>
  <si>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</si>
  <si>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</si>
  <si>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</si>
  <si>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</si>
  <si>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</si>
  <si>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</si>
  <si>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</si>
  <si>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</si>
  <si>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</si>
  <si>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</si>
  <si>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</si>
  <si>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</si>
  <si>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</si>
  <si>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</si>
  <si>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</si>
  <si>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</si>
  <si>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</si>
  <si>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</si>
  <si>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</si>
  <si>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</si>
  <si>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</si>
  <si>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</si>
  <si>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</si>
  <si>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</si>
  <si>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</si>
  <si>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</si>
  <si>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</si>
  <si>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</si>
  <si>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</si>
  <si>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</si>
  <si>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</si>
  <si>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</si>
  <si>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</si>
  <si>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</si>
  <si>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</si>
  <si>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</si>
  <si>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</si>
  <si>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</si>
  <si>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</si>
  <si>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</si>
  <si>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</si>
  <si>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</si>
  <si>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</si>
  <si>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</si>
  <si>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</si>
  <si>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</si>
  <si>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</si>
  <si>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</si>
  <si>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</si>
  <si>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</si>
  <si>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</si>
  <si>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</si>
  <si>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</si>
  <si>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</si>
  <si>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</si>
  <si>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</si>
  <si>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</si>
  <si>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</si>
  <si>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</si>
  <si>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</si>
  <si>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</si>
  <si>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</si>
  <si>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</si>
  <si>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</si>
  <si>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</si>
  <si>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</si>
  <si>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</si>
  <si>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</si>
  <si>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</si>
  <si>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</si>
  <si>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</si>
  <si>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</si>
  <si>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</si>
  <si>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</si>
  <si>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</si>
  <si>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</si>
  <si>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</si>
  <si>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</si>
  <si>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</si>
  <si>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</si>
  <si>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</si>
  <si>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</si>
  <si>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</si>
  <si>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</si>
  <si>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</si>
  <si>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</si>
  <si>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</si>
  <si>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</si>
  <si>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</si>
  <si>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</si>
  <si>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</si>
  <si>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</si>
  <si>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</si>
  <si>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</si>
  <si>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</si>
  <si>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</si>
  <si>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</si>
  <si>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</si>
  <si>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</si>
  <si>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</si>
  <si>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</si>
  <si>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</si>
  <si>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</si>
  <si>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</si>
  <si>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</si>
  <si>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</si>
  <si>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</si>
  <si>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</si>
  <si>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</si>
  <si>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</si>
  <si>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</si>
  <si>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</si>
  <si>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</si>
  <si>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</si>
  <si>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</si>
  <si>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</si>
  <si>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</si>
  <si>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</si>
  <si>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</si>
  <si>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</si>
  <si>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</si>
  <si>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</si>
  <si>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</si>
  <si>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</si>
  <si>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</si>
  <si>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murozond.mdx</t>
  </si>
  <si>
    <t>deathwing_0.mdx</t>
  </si>
  <si>
    <t>boneguard.mdx</t>
  </si>
  <si>
    <t>revenant2_drustvar.mdx</t>
  </si>
  <si>
    <t>GW-XN.mdx</t>
  </si>
  <si>
    <t>%1F%1E%1E%1D%1D%1F.mdx</t>
  </si>
  <si>
    <t>%1F%1C%1C%1C%1D%1E.mdx</t>
  </si>
  <si>
    <t>%1E%1E%1F%1E%1E.mdx</t>
  </si>
  <si>
    <t>%1E%1D%1C%1C%1D%1F.mdx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</si>
  <si>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</si>
  <si>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</si>
  <si>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</si>
  <si>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</si>
  <si>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</si>
  <si>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</si>
  <si>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</si>
  <si>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</si>
  <si>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</si>
  <si>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</si>
  <si>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</si>
  <si>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</si>
  <si>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</si>
  <si>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</si>
  <si>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</si>
  <si>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</si>
  <si>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</si>
  <si>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</si>
  <si>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</si>
  <si>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</si>
  <si>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</si>
  <si>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</si>
  <si>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</si>
  <si>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</si>
  <si>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</si>
  <si>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</si>
  <si>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</si>
  <si>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</si>
  <si>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</si>
  <si>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</si>
  <si>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</si>
  <si>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</si>
  <si>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</si>
  <si>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</si>
  <si>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</si>
  <si>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</si>
  <si>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</si>
  <si>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</si>
  <si>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</si>
  <si>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</si>
  <si>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</si>
  <si>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</si>
  <si>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</si>
  <si>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</si>
  <si>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</si>
  <si>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</si>
  <si>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</si>
  <si>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</si>
  <si>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</si>
  <si>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</si>
  <si>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</si>
  <si>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</si>
  <si>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</si>
  <si>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</si>
  <si>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</si>
  <si>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</si>
  <si>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</si>
  <si>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</si>
  <si>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</si>
  <si>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</si>
  <si>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</si>
  <si>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</si>
  <si>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</si>
  <si>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</si>
  <si>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</si>
  <si>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</si>
  <si>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</si>
  <si>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</si>
  <si>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</si>
  <si>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</si>
  <si>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</si>
  <si>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</si>
  <si>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</si>
  <si>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</si>
  <si>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</si>
  <si>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</si>
  <si>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</si>
  <si>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</si>
  <si>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</si>
  <si>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</si>
  <si>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</si>
  <si>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</si>
  <si>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</si>
  <si>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</si>
  <si>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</si>
  <si>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</si>
  <si>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</si>
  <si>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</si>
  <si>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</si>
  <si>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</si>
  <si>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</si>
  <si>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</si>
  <si>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</si>
  <si>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</si>
  <si>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</si>
  <si>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</si>
  <si>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</si>
  <si>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</si>
  <si>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</si>
  <si>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</si>
  <si>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</si>
  <si>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</si>
  <si>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</si>
  <si>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</si>
  <si>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</si>
  <si>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</si>
  <si>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</si>
  <si>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</si>
  <si>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</si>
  <si>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</si>
  <si>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</si>
  <si>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</si>
  <si>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</si>
  <si>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</si>
  <si>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</si>
  <si>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</si>
  <si>
    <t>Emoo</t>
    <phoneticPr fontId="6" type="noConversion"/>
  </si>
  <si>
    <t>ncnk</t>
    <phoneticPr fontId="6" type="noConversion"/>
  </si>
  <si>
    <t>Phoenix2.mdx</t>
    <phoneticPr fontId="6" type="noConversion"/>
  </si>
  <si>
    <t>洗练石boss3</t>
    <phoneticPr fontId="6" type="noConversion"/>
  </si>
  <si>
    <t>%1D%1E%1E%1C%1F%1C.mdx</t>
    <phoneticPr fontId="6" type="noConversion"/>
  </si>
  <si>
    <t>攻击减甲</t>
    <phoneticPr fontId="6" type="noConversion"/>
  </si>
  <si>
    <t>class</t>
  </si>
  <si>
    <t>模拟死亡</t>
    <phoneticPr fontId="6" type="noConversion"/>
  </si>
  <si>
    <t>大类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</si>
</sst>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tabSelected="1" workbookViewId="0">
      <pane xSplit="1" ySplit="3" topLeftCell="B76" activePane="bottomRight" state="frozen"/>
      <selection pane="topRight"/>
      <selection pane="bottomLeft"/>
      <selection pane="bottomRight" activeCell="M91" sqref="M91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242</v>
      </c>
      <c r="C2" s="26" t="s">
        <v>34</v>
      </c>
      <c r="D2" s="4" t="s">
        <v>2</v>
      </c>
      <c r="E2" t="s">
        <v>3</v>
      </c>
      <c r="F2" s="14" t="s">
        <v>208</v>
      </c>
      <c r="G2" s="3" t="s">
        <v>4</v>
      </c>
      <c r="H2" s="3" t="s">
        <v>5</v>
      </c>
      <c r="I2" t="s">
        <v>230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209</v>
      </c>
      <c r="G3" s="1" t="s">
        <v>346</v>
      </c>
      <c r="H3" s="1" t="s">
        <v>11</v>
      </c>
      <c r="I3" s="1" t="s">
        <v>231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326</v>
      </c>
      <c r="C4" s="28" t="s">
        <v>323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324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243</v>
      </c>
      <c r="B30" s="11" t="s">
        <v>132</v>
      </c>
      <c r="C30" s="28" t="s">
        <v>45</v>
      </c>
      <c r="D30" s="22" t="s">
        <v>232</v>
      </c>
      <c r="F30" s="2"/>
      <c r="G30" s="22">
        <v>2.2000000000000002</v>
      </c>
      <c r="I30" s="3">
        <v>60</v>
      </c>
    </row>
    <row r="31" spans="1:9" ht="15" x14ac:dyDescent="0.15">
      <c r="A31" s="27" t="s">
        <v>244</v>
      </c>
      <c r="B31" s="11" t="s">
        <v>133</v>
      </c>
      <c r="C31" s="28" t="s">
        <v>45</v>
      </c>
      <c r="D31" s="3" t="s">
        <v>233</v>
      </c>
      <c r="F31" s="2"/>
      <c r="G31" s="22">
        <v>2.2000000000000002</v>
      </c>
      <c r="I31" s="3">
        <v>60</v>
      </c>
    </row>
    <row r="32" spans="1:9" ht="15" x14ac:dyDescent="0.15">
      <c r="A32" s="31" t="s">
        <v>245</v>
      </c>
      <c r="B32" s="11" t="s">
        <v>134</v>
      </c>
      <c r="C32" s="28" t="s">
        <v>45</v>
      </c>
      <c r="D32" s="22" t="s">
        <v>235</v>
      </c>
      <c r="F32" s="2"/>
      <c r="G32" s="22">
        <v>4.8</v>
      </c>
      <c r="I32" s="3">
        <v>60</v>
      </c>
    </row>
    <row r="33" spans="1:9" ht="15" x14ac:dyDescent="0.15">
      <c r="A33" s="31" t="s">
        <v>344</v>
      </c>
      <c r="B33" s="11" t="s">
        <v>135</v>
      </c>
      <c r="C33" s="28" t="s">
        <v>45</v>
      </c>
      <c r="D33" s="3" t="s">
        <v>239</v>
      </c>
      <c r="F33" s="2"/>
      <c r="G33" s="3">
        <v>2</v>
      </c>
      <c r="I33" s="3">
        <v>60</v>
      </c>
    </row>
    <row r="34" spans="1:9" ht="15" x14ac:dyDescent="0.15">
      <c r="A34" s="27" t="s">
        <v>343</v>
      </c>
      <c r="B34" s="11" t="s">
        <v>136</v>
      </c>
      <c r="C34" s="27" t="s">
        <v>349</v>
      </c>
      <c r="D34" s="3" t="s">
        <v>241</v>
      </c>
      <c r="F34" s="2"/>
      <c r="G34" s="3">
        <v>1.5</v>
      </c>
      <c r="I34" s="3">
        <v>60</v>
      </c>
    </row>
    <row r="35" spans="1:9" ht="15" x14ac:dyDescent="0.15">
      <c r="A35" s="27" t="s">
        <v>248</v>
      </c>
      <c r="B35" s="11" t="s">
        <v>137</v>
      </c>
      <c r="C35" s="27" t="s">
        <v>349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249</v>
      </c>
      <c r="B36" s="11" t="s">
        <v>138</v>
      </c>
      <c r="C36" s="27" t="s">
        <v>45</v>
      </c>
      <c r="D36" s="3" t="s">
        <v>240</v>
      </c>
      <c r="F36" s="2"/>
      <c r="G36" s="3">
        <v>0.7</v>
      </c>
      <c r="I36" s="1">
        <v>10</v>
      </c>
    </row>
    <row r="37" spans="1:9" ht="15" x14ac:dyDescent="0.15">
      <c r="A37" s="27" t="s">
        <v>250</v>
      </c>
      <c r="B37" s="11" t="s">
        <v>139</v>
      </c>
      <c r="C37" s="27" t="s">
        <v>45</v>
      </c>
      <c r="D37" s="3" t="s">
        <v>240</v>
      </c>
      <c r="F37" s="2"/>
      <c r="G37" s="3">
        <v>0.8</v>
      </c>
      <c r="I37" s="1">
        <v>10</v>
      </c>
    </row>
    <row r="38" spans="1:9" ht="15" x14ac:dyDescent="0.15">
      <c r="A38" s="27" t="s">
        <v>251</v>
      </c>
      <c r="B38" s="11" t="s">
        <v>140</v>
      </c>
      <c r="C38" s="27" t="s">
        <v>45</v>
      </c>
      <c r="D38" s="3" t="s">
        <v>240</v>
      </c>
      <c r="F38" s="2"/>
      <c r="G38" s="3">
        <v>1</v>
      </c>
      <c r="I38" s="1">
        <v>10</v>
      </c>
    </row>
    <row r="39" spans="1:9" ht="15" x14ac:dyDescent="0.15">
      <c r="A39" s="27" t="s">
        <v>252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253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254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255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409</v>
      </c>
      <c r="B43" s="11" t="s">
        <v>345</v>
      </c>
      <c r="C43" s="27" t="s">
        <v>325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410</v>
      </c>
      <c r="B44" s="11" t="s">
        <v>146</v>
      </c>
      <c r="C44" s="27" t="s">
        <v>325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411</v>
      </c>
      <c r="B45" s="11" t="s">
        <v>147</v>
      </c>
      <c r="C45" s="27" t="s">
        <v>325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256</v>
      </c>
      <c r="B46" s="11" t="s">
        <v>148</v>
      </c>
      <c r="C46" s="27" t="s">
        <v>45</v>
      </c>
      <c r="D46" s="3" t="s">
        <v>296</v>
      </c>
      <c r="F46" s="2"/>
      <c r="G46" s="3">
        <v>1.5</v>
      </c>
      <c r="I46" s="3">
        <v>60</v>
      </c>
    </row>
    <row r="47" spans="1:9" ht="15" x14ac:dyDescent="0.15">
      <c r="A47" s="27" t="s">
        <v>257</v>
      </c>
      <c r="B47" s="11" t="s">
        <v>149</v>
      </c>
      <c r="C47" s="27" t="s">
        <v>45</v>
      </c>
      <c r="D47" s="3" t="s">
        <v>297</v>
      </c>
      <c r="F47" s="2"/>
      <c r="G47" s="3">
        <v>2</v>
      </c>
      <c r="I47" s="3">
        <v>60</v>
      </c>
    </row>
    <row r="48" spans="1:9" ht="15" x14ac:dyDescent="0.15">
      <c r="A48" s="27" t="s">
        <v>258</v>
      </c>
      <c r="B48" s="11" t="s">
        <v>150</v>
      </c>
      <c r="C48" s="27" t="s">
        <v>45</v>
      </c>
      <c r="D48" s="3" t="s">
        <v>298</v>
      </c>
      <c r="F48" s="2"/>
      <c r="G48" s="3">
        <v>0.6</v>
      </c>
      <c r="I48" s="3">
        <v>60</v>
      </c>
    </row>
    <row r="49" spans="1:9" ht="15" x14ac:dyDescent="0.15">
      <c r="A49" s="27" t="s">
        <v>259</v>
      </c>
      <c r="B49" s="11" t="s">
        <v>151</v>
      </c>
      <c r="C49" s="27" t="s">
        <v>430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260</v>
      </c>
      <c r="B50" s="11" t="s">
        <v>152</v>
      </c>
      <c r="C50" s="27" t="s">
        <v>45</v>
      </c>
      <c r="D50" s="3" t="s">
        <v>299</v>
      </c>
      <c r="F50" s="2"/>
      <c r="G50" s="3">
        <v>0.6</v>
      </c>
      <c r="I50" s="3">
        <v>60</v>
      </c>
    </row>
    <row r="51" spans="1:9" ht="15" x14ac:dyDescent="0.15">
      <c r="A51" s="27" t="s">
        <v>261</v>
      </c>
      <c r="B51" s="11" t="s">
        <v>153</v>
      </c>
      <c r="C51" s="27" t="s">
        <v>432</v>
      </c>
      <c r="D51" s="27"/>
      <c r="F51" s="2"/>
      <c r="G51" s="3">
        <v>1.5</v>
      </c>
      <c r="I51" s="3">
        <v>60</v>
      </c>
    </row>
    <row r="52" spans="1:9" ht="15" x14ac:dyDescent="0.15">
      <c r="A52" s="27" t="s">
        <v>262</v>
      </c>
      <c r="B52" s="11" t="s">
        <v>154</v>
      </c>
      <c r="C52" s="27" t="s">
        <v>433</v>
      </c>
      <c r="D52" s="3"/>
      <c r="F52" s="2"/>
      <c r="G52" s="3">
        <v>2</v>
      </c>
      <c r="I52" s="3">
        <v>60</v>
      </c>
    </row>
    <row r="53" spans="1:9" ht="15" x14ac:dyDescent="0.15">
      <c r="A53" s="27" t="s">
        <v>263</v>
      </c>
      <c r="B53" s="11" t="s">
        <v>155</v>
      </c>
      <c r="C53" s="27" t="s">
        <v>45</v>
      </c>
      <c r="D53" s="3" t="s">
        <v>300</v>
      </c>
      <c r="F53" s="2"/>
      <c r="G53" s="3">
        <v>1.8</v>
      </c>
      <c r="I53" s="3">
        <v>60</v>
      </c>
    </row>
    <row r="54" spans="1:9" ht="15" x14ac:dyDescent="0.15">
      <c r="A54" s="27" t="s">
        <v>264</v>
      </c>
      <c r="B54" s="11" t="s">
        <v>156</v>
      </c>
      <c r="C54" s="27" t="s">
        <v>45</v>
      </c>
      <c r="D54" s="3" t="s">
        <v>301</v>
      </c>
      <c r="F54" s="2"/>
      <c r="G54" s="3">
        <v>1.4</v>
      </c>
      <c r="I54" s="3">
        <v>60</v>
      </c>
    </row>
    <row r="55" spans="1:9" ht="15" x14ac:dyDescent="0.15">
      <c r="A55" s="27" t="s">
        <v>265</v>
      </c>
      <c r="B55" s="11" t="s">
        <v>157</v>
      </c>
      <c r="C55" s="27" t="s">
        <v>45</v>
      </c>
      <c r="D55" s="3" t="s">
        <v>302</v>
      </c>
      <c r="F55" s="2"/>
      <c r="G55" s="3">
        <v>1.5</v>
      </c>
      <c r="I55" s="3">
        <v>60</v>
      </c>
    </row>
    <row r="56" spans="1:9" ht="15" x14ac:dyDescent="0.15">
      <c r="A56" s="27" t="s">
        <v>266</v>
      </c>
      <c r="B56" s="11" t="s">
        <v>158</v>
      </c>
      <c r="C56" s="27" t="s">
        <v>45</v>
      </c>
      <c r="D56" s="3" t="s">
        <v>303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267</v>
      </c>
      <c r="B57" s="11" t="s">
        <v>159</v>
      </c>
      <c r="C57" s="27" t="s">
        <v>45</v>
      </c>
      <c r="D57" s="3" t="s">
        <v>304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268</v>
      </c>
      <c r="B58" s="11" t="s">
        <v>160</v>
      </c>
      <c r="C58" s="27" t="s">
        <v>350</v>
      </c>
      <c r="D58" s="3" t="s">
        <v>305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269</v>
      </c>
      <c r="B59" s="11" t="s">
        <v>161</v>
      </c>
      <c r="C59" s="27" t="s">
        <v>45</v>
      </c>
      <c r="D59" s="3" t="s">
        <v>306</v>
      </c>
      <c r="F59" s="2"/>
      <c r="G59" s="3">
        <v>1.5</v>
      </c>
      <c r="I59" s="3">
        <v>60</v>
      </c>
    </row>
    <row r="60" spans="1:9" ht="15" x14ac:dyDescent="0.15">
      <c r="A60" s="27" t="s">
        <v>270</v>
      </c>
      <c r="B60" s="11" t="s">
        <v>162</v>
      </c>
      <c r="C60" s="27" t="s">
        <v>45</v>
      </c>
      <c r="D60" s="3" t="s">
        <v>351</v>
      </c>
      <c r="F60" s="2"/>
      <c r="G60" s="3">
        <v>1.6</v>
      </c>
      <c r="I60" s="3">
        <v>60</v>
      </c>
    </row>
    <row r="61" spans="1:9" ht="15" x14ac:dyDescent="0.15">
      <c r="A61" s="27" t="s">
        <v>271</v>
      </c>
      <c r="B61" s="11" t="s">
        <v>163</v>
      </c>
      <c r="C61" s="27" t="s">
        <v>45</v>
      </c>
      <c r="D61" s="3" t="s">
        <v>352</v>
      </c>
      <c r="F61" s="2"/>
      <c r="G61" s="3">
        <v>2.2000000000000002</v>
      </c>
      <c r="I61" s="3">
        <v>60</v>
      </c>
    </row>
    <row r="62" spans="1:9" ht="15" x14ac:dyDescent="0.15">
      <c r="A62" s="27" t="s">
        <v>272</v>
      </c>
      <c r="B62" s="11" t="s">
        <v>164</v>
      </c>
      <c r="C62" s="27" t="s">
        <v>350</v>
      </c>
      <c r="D62" s="3" t="s">
        <v>436</v>
      </c>
      <c r="G62" s="3">
        <v>1.6</v>
      </c>
      <c r="I62" s="3">
        <v>60</v>
      </c>
    </row>
    <row r="63" spans="1:9" ht="15" x14ac:dyDescent="0.15">
      <c r="A63" s="27" t="s">
        <v>273</v>
      </c>
      <c r="B63" s="11" t="s">
        <v>165</v>
      </c>
      <c r="C63" s="27" t="s">
        <v>45</v>
      </c>
      <c r="D63" s="3" t="s">
        <v>307</v>
      </c>
      <c r="F63" s="2"/>
      <c r="G63" s="3">
        <v>0.5</v>
      </c>
      <c r="I63" s="3">
        <v>60</v>
      </c>
    </row>
    <row r="64" spans="1:9" ht="15" x14ac:dyDescent="0.15">
      <c r="A64" s="27" t="s">
        <v>274</v>
      </c>
      <c r="B64" s="11" t="s">
        <v>166</v>
      </c>
      <c r="C64" s="27" t="s">
        <v>45</v>
      </c>
      <c r="D64" s="3" t="s">
        <v>308</v>
      </c>
      <c r="F64" s="2"/>
      <c r="G64" s="3">
        <v>0.5</v>
      </c>
      <c r="I64" s="3">
        <v>60</v>
      </c>
    </row>
    <row r="65" spans="1:9" ht="15" x14ac:dyDescent="0.15">
      <c r="A65" s="27" t="s">
        <v>275</v>
      </c>
      <c r="B65" s="11" t="s">
        <v>167</v>
      </c>
      <c r="C65" s="27" t="s">
        <v>45</v>
      </c>
      <c r="D65" s="3" t="s">
        <v>309</v>
      </c>
      <c r="F65" s="2"/>
      <c r="G65" s="3">
        <v>2</v>
      </c>
      <c r="I65" s="3">
        <v>60</v>
      </c>
    </row>
    <row r="66" spans="1:9" ht="15" x14ac:dyDescent="0.15">
      <c r="A66" s="27" t="s">
        <v>276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276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276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276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276</v>
      </c>
      <c r="B70" s="11" t="s">
        <v>172</v>
      </c>
      <c r="C70" s="27" t="s">
        <v>45</v>
      </c>
      <c r="I70" s="3"/>
    </row>
    <row r="71" spans="1:9" ht="15" x14ac:dyDescent="0.15">
      <c r="A71" s="27" t="s">
        <v>277</v>
      </c>
      <c r="B71" s="11" t="s">
        <v>173</v>
      </c>
      <c r="C71" s="27" t="s">
        <v>45</v>
      </c>
      <c r="D71" s="3" t="s">
        <v>310</v>
      </c>
      <c r="F71" s="2"/>
      <c r="G71" s="3">
        <v>1.3</v>
      </c>
      <c r="I71" s="3">
        <v>60</v>
      </c>
    </row>
    <row r="72" spans="1:9" ht="15" x14ac:dyDescent="0.15">
      <c r="A72" s="27" t="s">
        <v>278</v>
      </c>
      <c r="B72" s="11" t="s">
        <v>174</v>
      </c>
      <c r="C72" s="27" t="s">
        <v>45</v>
      </c>
      <c r="D72" s="3" t="s">
        <v>234</v>
      </c>
      <c r="F72" s="2"/>
      <c r="G72" s="3">
        <v>2</v>
      </c>
      <c r="I72" s="3">
        <v>60</v>
      </c>
    </row>
    <row r="73" spans="1:9" ht="15" x14ac:dyDescent="0.15">
      <c r="A73" s="27" t="s">
        <v>279</v>
      </c>
      <c r="B73" s="11" t="s">
        <v>175</v>
      </c>
      <c r="C73" s="27" t="s">
        <v>45</v>
      </c>
      <c r="D73" s="3" t="s">
        <v>236</v>
      </c>
      <c r="F73" s="2"/>
      <c r="G73" s="3">
        <v>1.3</v>
      </c>
      <c r="I73" s="3">
        <v>60</v>
      </c>
    </row>
    <row r="74" spans="1:9" ht="15" x14ac:dyDescent="0.15">
      <c r="A74" s="27" t="s">
        <v>280</v>
      </c>
      <c r="B74" s="11" t="s">
        <v>176</v>
      </c>
      <c r="C74" s="27" t="s">
        <v>45</v>
      </c>
      <c r="D74" s="3" t="s">
        <v>237</v>
      </c>
      <c r="F74" s="2"/>
      <c r="G74" s="3">
        <v>2.2000000000000002</v>
      </c>
      <c r="I74" s="3">
        <v>60</v>
      </c>
    </row>
    <row r="75" spans="1:9" ht="15" x14ac:dyDescent="0.15">
      <c r="A75" s="27" t="s">
        <v>281</v>
      </c>
      <c r="B75" s="11" t="s">
        <v>177</v>
      </c>
      <c r="C75" s="27" t="s">
        <v>45</v>
      </c>
      <c r="D75" s="3" t="s">
        <v>238</v>
      </c>
      <c r="F75" s="2"/>
      <c r="G75" s="3">
        <v>1.5</v>
      </c>
      <c r="I75" s="3">
        <v>60</v>
      </c>
    </row>
    <row r="76" spans="1:9" ht="15" x14ac:dyDescent="0.15">
      <c r="A76" s="27" t="s">
        <v>282</v>
      </c>
      <c r="B76" s="11" t="s">
        <v>178</v>
      </c>
      <c r="C76" s="27" t="s">
        <v>45</v>
      </c>
      <c r="D76" s="3" t="s">
        <v>311</v>
      </c>
      <c r="F76" s="2"/>
      <c r="G76" s="3">
        <v>1.7</v>
      </c>
      <c r="I76" s="3">
        <v>60</v>
      </c>
    </row>
    <row r="77" spans="1:9" ht="15" x14ac:dyDescent="0.15">
      <c r="A77" s="27" t="s">
        <v>435</v>
      </c>
      <c r="B77" s="11" t="s">
        <v>179</v>
      </c>
      <c r="C77" s="27" t="s">
        <v>350</v>
      </c>
      <c r="D77" s="3" t="s">
        <v>434</v>
      </c>
      <c r="F77" s="2"/>
      <c r="G77" s="3">
        <v>1.5</v>
      </c>
      <c r="I77" s="3">
        <v>60</v>
      </c>
    </row>
    <row r="78" spans="1:9" ht="15" x14ac:dyDescent="0.15">
      <c r="A78" s="27" t="s">
        <v>284</v>
      </c>
      <c r="B78" s="11" t="s">
        <v>180</v>
      </c>
      <c r="C78" s="27" t="s">
        <v>45</v>
      </c>
      <c r="D78" s="23" t="s">
        <v>321</v>
      </c>
      <c r="G78" s="3">
        <v>1</v>
      </c>
      <c r="I78" s="3">
        <v>60</v>
      </c>
    </row>
    <row r="79" spans="1:9" ht="15" x14ac:dyDescent="0.15">
      <c r="A79" s="27" t="s">
        <v>285</v>
      </c>
      <c r="B79" s="11" t="s">
        <v>181</v>
      </c>
      <c r="C79" s="27" t="s">
        <v>45</v>
      </c>
      <c r="D79" s="3" t="s">
        <v>356</v>
      </c>
      <c r="F79" s="2"/>
      <c r="G79" s="3">
        <v>2.2000000000000002</v>
      </c>
      <c r="I79" s="3">
        <v>60</v>
      </c>
    </row>
    <row r="80" spans="1:9" ht="15" x14ac:dyDescent="0.15">
      <c r="A80" s="27" t="s">
        <v>286</v>
      </c>
      <c r="B80" s="11" t="s">
        <v>182</v>
      </c>
      <c r="C80" s="27" t="s">
        <v>45</v>
      </c>
      <c r="D80" s="3" t="s">
        <v>312</v>
      </c>
      <c r="F80" s="2"/>
      <c r="G80" s="3">
        <v>1</v>
      </c>
      <c r="I80" s="3">
        <v>60</v>
      </c>
    </row>
    <row r="81" spans="1:9" ht="15" x14ac:dyDescent="0.15">
      <c r="A81" s="27" t="s">
        <v>287</v>
      </c>
      <c r="B81" s="11" t="s">
        <v>183</v>
      </c>
      <c r="C81" s="27" t="s">
        <v>45</v>
      </c>
      <c r="D81" s="3" t="s">
        <v>313</v>
      </c>
      <c r="F81" s="2"/>
      <c r="G81" s="3">
        <v>1.7</v>
      </c>
      <c r="I81" s="3">
        <v>60</v>
      </c>
    </row>
    <row r="82" spans="1:9" ht="15" x14ac:dyDescent="0.15">
      <c r="A82" s="27" t="s">
        <v>288</v>
      </c>
      <c r="B82" s="11" t="s">
        <v>184</v>
      </c>
      <c r="C82" s="27" t="s">
        <v>431</v>
      </c>
      <c r="D82" s="23"/>
      <c r="F82" s="2"/>
      <c r="G82" s="3"/>
      <c r="I82" s="3">
        <v>60</v>
      </c>
    </row>
    <row r="83" spans="1:9" ht="15" x14ac:dyDescent="0.15">
      <c r="A83" s="27" t="s">
        <v>289</v>
      </c>
      <c r="B83" s="11" t="s">
        <v>185</v>
      </c>
      <c r="C83" s="27" t="s">
        <v>45</v>
      </c>
      <c r="D83" s="3" t="s">
        <v>314</v>
      </c>
      <c r="F83" s="2"/>
      <c r="G83" s="3">
        <v>2.1</v>
      </c>
      <c r="I83" s="3">
        <v>60</v>
      </c>
    </row>
    <row r="84" spans="1:9" ht="15" x14ac:dyDescent="0.15">
      <c r="A84" s="27" t="s">
        <v>290</v>
      </c>
      <c r="B84" s="11" t="s">
        <v>186</v>
      </c>
      <c r="C84" s="27" t="s">
        <v>355</v>
      </c>
      <c r="D84" s="3" t="s">
        <v>436</v>
      </c>
      <c r="G84" s="3">
        <v>1.6</v>
      </c>
      <c r="I84" s="3">
        <v>60</v>
      </c>
    </row>
    <row r="85" spans="1:9" ht="15" x14ac:dyDescent="0.15">
      <c r="A85" s="27" t="s">
        <v>291</v>
      </c>
      <c r="B85" s="11" t="s">
        <v>214</v>
      </c>
      <c r="C85" s="27" t="s">
        <v>45</v>
      </c>
      <c r="D85" s="3" t="s">
        <v>315</v>
      </c>
      <c r="F85" s="2"/>
      <c r="G85" s="3">
        <v>2</v>
      </c>
      <c r="I85" s="3">
        <v>60</v>
      </c>
    </row>
    <row r="86" spans="1:9" ht="15" x14ac:dyDescent="0.15">
      <c r="A86" s="27" t="s">
        <v>292</v>
      </c>
      <c r="B86" s="11" t="s">
        <v>215</v>
      </c>
      <c r="C86" s="27" t="s">
        <v>45</v>
      </c>
      <c r="D86" s="3" t="s">
        <v>317</v>
      </c>
      <c r="G86" s="3">
        <v>1.5</v>
      </c>
      <c r="I86" s="3">
        <v>60</v>
      </c>
    </row>
    <row r="87" spans="1:9" ht="15" x14ac:dyDescent="0.15">
      <c r="A87" s="27" t="s">
        <v>293</v>
      </c>
      <c r="B87" s="11" t="s">
        <v>216</v>
      </c>
      <c r="C87" s="27" t="s">
        <v>45</v>
      </c>
      <c r="D87" s="3" t="s">
        <v>316</v>
      </c>
      <c r="G87" s="3">
        <v>1.5</v>
      </c>
      <c r="I87" s="3">
        <v>60</v>
      </c>
    </row>
    <row r="88" spans="1:9" ht="15" x14ac:dyDescent="0.15">
      <c r="A88" s="27" t="s">
        <v>294</v>
      </c>
      <c r="B88" s="11" t="s">
        <v>219</v>
      </c>
      <c r="C88" s="27" t="s">
        <v>45</v>
      </c>
      <c r="D88" s="3" t="s">
        <v>339</v>
      </c>
      <c r="G88" s="3">
        <v>1.1000000000000001</v>
      </c>
      <c r="I88" s="3">
        <v>60</v>
      </c>
    </row>
    <row r="89" spans="1:9" ht="15" x14ac:dyDescent="0.15">
      <c r="A89" s="50" t="s">
        <v>357</v>
      </c>
      <c r="B89" s="11" t="s">
        <v>220</v>
      </c>
      <c r="C89" s="27" t="s">
        <v>400</v>
      </c>
      <c r="D89" s="3"/>
      <c r="G89" s="3">
        <v>1.1000000000000001</v>
      </c>
      <c r="I89" s="3">
        <v>10</v>
      </c>
    </row>
    <row r="90" spans="1:9" ht="15" x14ac:dyDescent="0.15">
      <c r="A90" s="50" t="s">
        <v>358</v>
      </c>
      <c r="B90" s="11" t="s">
        <v>221</v>
      </c>
      <c r="C90" s="27" t="s">
        <v>425</v>
      </c>
      <c r="D90" s="3"/>
      <c r="G90" s="3">
        <v>1</v>
      </c>
      <c r="I90" s="3">
        <v>10</v>
      </c>
    </row>
    <row r="91" spans="1:9" ht="15" x14ac:dyDescent="0.15">
      <c r="A91" s="50" t="s">
        <v>359</v>
      </c>
      <c r="B91" s="11" t="s">
        <v>222</v>
      </c>
      <c r="C91" s="27" t="s">
        <v>426</v>
      </c>
      <c r="D91" s="3"/>
      <c r="G91" s="3">
        <v>0.8</v>
      </c>
      <c r="I91" s="3">
        <v>10</v>
      </c>
    </row>
    <row r="92" spans="1:9" ht="15" x14ac:dyDescent="0.15">
      <c r="A92" s="50" t="s">
        <v>360</v>
      </c>
      <c r="B92" s="11" t="s">
        <v>223</v>
      </c>
      <c r="C92" s="27" t="s">
        <v>427</v>
      </c>
      <c r="D92" s="3"/>
      <c r="G92" s="3">
        <v>0.7</v>
      </c>
      <c r="I92" s="3">
        <v>10</v>
      </c>
    </row>
    <row r="93" spans="1:9" ht="15" x14ac:dyDescent="0.15">
      <c r="A93" s="50" t="s">
        <v>361</v>
      </c>
      <c r="B93" s="11" t="s">
        <v>224</v>
      </c>
      <c r="C93" s="27" t="s">
        <v>45</v>
      </c>
      <c r="D93" s="3" t="s">
        <v>318</v>
      </c>
      <c r="G93" s="3">
        <v>2.5</v>
      </c>
      <c r="I93" s="3">
        <v>60</v>
      </c>
    </row>
    <row r="94" spans="1:9" ht="15" x14ac:dyDescent="0.15">
      <c r="A94" s="50" t="s">
        <v>362</v>
      </c>
      <c r="B94" s="11" t="s">
        <v>225</v>
      </c>
      <c r="C94" s="27" t="s">
        <v>45</v>
      </c>
      <c r="D94" s="23" t="s">
        <v>319</v>
      </c>
      <c r="G94" s="3">
        <v>2.5</v>
      </c>
      <c r="I94" s="3">
        <v>60</v>
      </c>
    </row>
    <row r="95" spans="1:9" ht="15" x14ac:dyDescent="0.15">
      <c r="A95" s="50" t="s">
        <v>363</v>
      </c>
      <c r="B95" s="11" t="s">
        <v>226</v>
      </c>
      <c r="C95" s="27" t="s">
        <v>45</v>
      </c>
      <c r="D95" s="23" t="s">
        <v>320</v>
      </c>
      <c r="G95" s="3">
        <v>2.5</v>
      </c>
      <c r="I95" s="3">
        <v>60</v>
      </c>
    </row>
    <row r="96" spans="1:9" ht="15" x14ac:dyDescent="0.15">
      <c r="A96" s="50" t="s">
        <v>364</v>
      </c>
      <c r="B96" s="11" t="s">
        <v>227</v>
      </c>
      <c r="C96" s="27" t="s">
        <v>45</v>
      </c>
      <c r="D96" s="23" t="s">
        <v>321</v>
      </c>
      <c r="G96" s="3">
        <v>1</v>
      </c>
      <c r="I96" s="3">
        <v>60</v>
      </c>
    </row>
    <row r="97" spans="1:9" ht="15" x14ac:dyDescent="0.15">
      <c r="A97" s="27" t="s">
        <v>295</v>
      </c>
      <c r="B97" s="11" t="s">
        <v>228</v>
      </c>
      <c r="C97" s="27" t="s">
        <v>45</v>
      </c>
      <c r="D97" s="23" t="s">
        <v>322</v>
      </c>
      <c r="G97" s="3">
        <v>1</v>
      </c>
      <c r="I97" s="1">
        <v>10</v>
      </c>
    </row>
    <row r="98" spans="1:9" ht="15" x14ac:dyDescent="0.15">
      <c r="A98" s="3" t="s">
        <v>327</v>
      </c>
      <c r="B98" s="11" t="s">
        <v>328</v>
      </c>
      <c r="C98" s="27" t="s">
        <v>45</v>
      </c>
      <c r="D98" s="23" t="s">
        <v>353</v>
      </c>
      <c r="G98" s="3">
        <v>1.5</v>
      </c>
      <c r="I98" s="3">
        <v>60</v>
      </c>
    </row>
    <row r="99" spans="1:9" ht="15" x14ac:dyDescent="0.15">
      <c r="A99" s="51" t="s">
        <v>365</v>
      </c>
      <c r="B99" s="11" t="s">
        <v>366</v>
      </c>
      <c r="C99" s="26" t="s">
        <v>367</v>
      </c>
      <c r="G99" s="3">
        <v>1.5</v>
      </c>
      <c r="I99" s="1">
        <v>10</v>
      </c>
    </row>
    <row r="100" spans="1:9" ht="15" x14ac:dyDescent="0.15">
      <c r="A100" s="52" t="s">
        <v>419</v>
      </c>
      <c r="B100" s="11" t="s">
        <v>379</v>
      </c>
      <c r="C100" s="50" t="s">
        <v>388</v>
      </c>
      <c r="G100" s="3">
        <v>1</v>
      </c>
      <c r="I100" s="3">
        <v>60</v>
      </c>
    </row>
    <row r="101" spans="1:9" ht="15" x14ac:dyDescent="0.15">
      <c r="A101" s="52" t="s">
        <v>420</v>
      </c>
      <c r="B101" s="11" t="s">
        <v>380</v>
      </c>
      <c r="C101" s="50" t="s">
        <v>389</v>
      </c>
      <c r="G101" s="3">
        <v>1</v>
      </c>
      <c r="I101" s="3">
        <v>60</v>
      </c>
    </row>
    <row r="102" spans="1:9" ht="15" x14ac:dyDescent="0.15">
      <c r="A102" s="52" t="s">
        <v>421</v>
      </c>
      <c r="B102" s="11" t="s">
        <v>381</v>
      </c>
      <c r="C102" s="50" t="s">
        <v>390</v>
      </c>
      <c r="G102" s="3">
        <v>1</v>
      </c>
      <c r="I102" s="3">
        <v>60</v>
      </c>
    </row>
    <row r="103" spans="1:9" ht="15" x14ac:dyDescent="0.15">
      <c r="A103" s="52" t="s">
        <v>422</v>
      </c>
      <c r="B103" s="11" t="s">
        <v>382</v>
      </c>
      <c r="C103" s="50" t="s">
        <v>391</v>
      </c>
      <c r="G103" s="3">
        <v>1</v>
      </c>
      <c r="I103" s="3">
        <v>60</v>
      </c>
    </row>
    <row r="104" spans="1:9" ht="15" x14ac:dyDescent="0.15">
      <c r="A104" s="52" t="s">
        <v>416</v>
      </c>
      <c r="B104" s="11" t="s">
        <v>383</v>
      </c>
      <c r="C104" s="27" t="s">
        <v>45</v>
      </c>
      <c r="D104" s="50" t="s">
        <v>392</v>
      </c>
      <c r="G104" s="3">
        <v>1</v>
      </c>
      <c r="I104" s="3">
        <v>60</v>
      </c>
    </row>
    <row r="105" spans="1:9" ht="15" x14ac:dyDescent="0.15">
      <c r="A105" s="52" t="s">
        <v>417</v>
      </c>
      <c r="B105" s="11" t="s">
        <v>384</v>
      </c>
      <c r="C105" s="27" t="s">
        <v>45</v>
      </c>
      <c r="D105" s="50" t="s">
        <v>412</v>
      </c>
      <c r="G105" s="3">
        <v>1</v>
      </c>
      <c r="I105" s="3">
        <v>60</v>
      </c>
    </row>
    <row r="106" spans="1:9" ht="15" x14ac:dyDescent="0.15">
      <c r="A106" s="52" t="s">
        <v>418</v>
      </c>
      <c r="B106" s="11" t="s">
        <v>385</v>
      </c>
      <c r="C106" s="27" t="s">
        <v>45</v>
      </c>
      <c r="D106" s="50" t="s">
        <v>393</v>
      </c>
      <c r="G106" s="3">
        <v>1</v>
      </c>
      <c r="I106" s="3">
        <v>60</v>
      </c>
    </row>
    <row r="107" spans="1:9" ht="15" x14ac:dyDescent="0.15">
      <c r="A107" s="52" t="s">
        <v>423</v>
      </c>
      <c r="B107" s="11" t="s">
        <v>386</v>
      </c>
      <c r="C107" s="27" t="s">
        <v>45</v>
      </c>
      <c r="D107" s="54" t="s">
        <v>414</v>
      </c>
      <c r="G107" s="3">
        <v>1</v>
      </c>
      <c r="I107" s="3">
        <v>60</v>
      </c>
    </row>
    <row r="108" spans="1:9" ht="15" x14ac:dyDescent="0.15">
      <c r="A108" s="52" t="s">
        <v>424</v>
      </c>
      <c r="B108" s="11" t="s">
        <v>387</v>
      </c>
      <c r="C108" s="27" t="s">
        <v>45</v>
      </c>
      <c r="D108" s="54" t="s">
        <v>413</v>
      </c>
      <c r="G108" s="3">
        <v>1</v>
      </c>
      <c r="I108" s="3">
        <v>60</v>
      </c>
    </row>
    <row r="109" spans="1:9" ht="15" x14ac:dyDescent="0.15">
      <c r="A109" s="32" t="s">
        <v>394</v>
      </c>
      <c r="B109" s="11" t="s">
        <v>395</v>
      </c>
      <c r="C109" s="27" t="s">
        <v>45</v>
      </c>
      <c r="D109" s="17" t="s">
        <v>396</v>
      </c>
      <c r="G109" s="3">
        <v>1.5</v>
      </c>
      <c r="I109" s="3">
        <v>60</v>
      </c>
    </row>
    <row r="110" spans="1:9" ht="15" x14ac:dyDescent="0.15">
      <c r="A110" s="16" t="s">
        <v>397</v>
      </c>
      <c r="B110" s="11" t="s">
        <v>398</v>
      </c>
      <c r="C110" s="27" t="s">
        <v>399</v>
      </c>
      <c r="G110" s="3">
        <v>1</v>
      </c>
      <c r="I110" s="1">
        <v>10</v>
      </c>
    </row>
    <row r="111" spans="1:9" ht="15" x14ac:dyDescent="0.15">
      <c r="A111" s="50" t="s">
        <v>401</v>
      </c>
      <c r="B111" s="11" t="s">
        <v>405</v>
      </c>
      <c r="C111" s="27" t="s">
        <v>45</v>
      </c>
      <c r="D111" s="17" t="s">
        <v>392</v>
      </c>
      <c r="G111" s="3">
        <v>1</v>
      </c>
      <c r="I111" s="3">
        <v>60</v>
      </c>
    </row>
    <row r="112" spans="1:9" ht="15" x14ac:dyDescent="0.15">
      <c r="A112" s="50" t="s">
        <v>402</v>
      </c>
      <c r="B112" s="11" t="s">
        <v>406</v>
      </c>
      <c r="C112" s="27" t="s">
        <v>45</v>
      </c>
      <c r="D112" s="2" t="s">
        <v>415</v>
      </c>
      <c r="G112" s="3">
        <v>1</v>
      </c>
      <c r="I112" s="3">
        <v>60</v>
      </c>
    </row>
    <row r="113" spans="1:9" ht="15" x14ac:dyDescent="0.15">
      <c r="A113" s="50" t="s">
        <v>403</v>
      </c>
      <c r="B113" s="11" t="s">
        <v>407</v>
      </c>
      <c r="C113" s="27" t="s">
        <v>45</v>
      </c>
      <c r="D113" s="2" t="s">
        <v>429</v>
      </c>
      <c r="G113" s="3">
        <v>0.62</v>
      </c>
      <c r="I113" s="3">
        <v>60</v>
      </c>
    </row>
    <row r="114" spans="1:9" ht="15" x14ac:dyDescent="0.15">
      <c r="A114" s="50" t="s">
        <v>404</v>
      </c>
      <c r="B114" s="11" t="s">
        <v>408</v>
      </c>
      <c r="C114" s="27" t="s">
        <v>45</v>
      </c>
      <c r="D114" s="2" t="s">
        <v>428</v>
      </c>
      <c r="G114" s="3">
        <v>1</v>
      </c>
      <c r="I114" s="3">
        <v>60</v>
      </c>
    </row>
  </sheetData>
  <phoneticPr fontId="6" type="noConversion"/>
  <conditionalFormatting sqref="A99">
    <cfRule type="duplicateValues" dxfId="5" priority="5"/>
  </conditionalFormatting>
  <conditionalFormatting sqref="D98">
    <cfRule type="duplicateValues" dxfId="4" priority="3"/>
  </conditionalFormatting>
  <conditionalFormatting sqref="D4:D50 D52:D61 D71:D77 D79:D97 D63:D69">
    <cfRule type="duplicateValues" dxfId="3" priority="9"/>
  </conditionalFormatting>
  <conditionalFormatting sqref="D78">
    <cfRule type="duplicateValues" dxfId="2" priority="2"/>
  </conditionalFormatting>
  <conditionalFormatting sqref="D62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202</v>
      </c>
    </row>
    <row r="39" spans="1:1" ht="15" x14ac:dyDescent="0.15">
      <c r="A39" s="1" t="s">
        <v>205</v>
      </c>
    </row>
    <row r="40" spans="1:1" ht="15" x14ac:dyDescent="0.15">
      <c r="A40" s="1" t="s">
        <v>203</v>
      </c>
    </row>
    <row r="41" spans="1:1" ht="15" x14ac:dyDescent="0.15">
      <c r="A41" s="1" t="s">
        <v>206</v>
      </c>
    </row>
    <row r="42" spans="1:1" ht="15" x14ac:dyDescent="0.15">
      <c r="A42" s="1" t="s">
        <v>204</v>
      </c>
    </row>
    <row r="43" spans="1:1" ht="15" x14ac:dyDescent="0.15">
      <c r="A43" s="1" t="s">
        <v>207</v>
      </c>
    </row>
    <row r="44" spans="1:1" ht="15" x14ac:dyDescent="0.15">
      <c r="A44" s="1" t="s">
        <v>210</v>
      </c>
    </row>
    <row r="45" spans="1:1" ht="15" x14ac:dyDescent="0.15">
      <c r="A45" s="1" t="s">
        <v>211</v>
      </c>
    </row>
    <row r="46" spans="1:1" ht="15" x14ac:dyDescent="0.15">
      <c r="A46" s="1" t="s">
        <v>212</v>
      </c>
    </row>
    <row r="47" spans="1:1" ht="15" x14ac:dyDescent="0.15">
      <c r="A47" s="1" t="s">
        <v>213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A114"/>
  <sheetViews>
    <sheetView zoomScaleNormal="100" workbookViewId="0">
      <pane ySplit="3" topLeftCell="A4" activePane="bottomLeft" state="frozen"/>
      <selection activeCell="D1" sqref="D1"/>
      <selection pane="bottomLeft" activeCell="N42" sqref="N42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47" customWidth="1"/>
    <col min="12" max="12" width="13.625" customWidth="1"/>
    <col min="13" max="13" width="15.75" customWidth="1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2" t="s">
        <v>0</v>
      </c>
      <c r="L1" s="12" t="s">
        <v>336</v>
      </c>
      <c r="M1" s="12" t="s">
        <v>338</v>
      </c>
      <c r="N1" s="12" t="s">
        <v>338</v>
      </c>
      <c r="O1" s="12" t="s">
        <v>338</v>
      </c>
      <c r="P1" s="12" t="s">
        <v>338</v>
      </c>
      <c r="Q1" s="12" t="s">
        <v>338</v>
      </c>
      <c r="R1" s="12" t="s">
        <v>338</v>
      </c>
      <c r="S1" s="12" t="s">
        <v>338</v>
      </c>
      <c r="T1" s="12" t="s">
        <v>338</v>
      </c>
      <c r="U1" s="12" t="s">
        <v>338</v>
      </c>
      <c r="V1" s="12" t="s">
        <v>338</v>
      </c>
      <c r="W1" s="12" t="s">
        <v>338</v>
      </c>
      <c r="X1" s="12" t="s">
        <v>338</v>
      </c>
      <c r="Y1" s="12" t="s">
        <v>338</v>
      </c>
      <c r="Z1" s="12" t="s">
        <v>338</v>
      </c>
      <c r="AA1" s="6" t="s">
        <v>337</v>
      </c>
    </row>
    <row r="2" spans="1:27" x14ac:dyDescent="0.15">
      <c r="A2" t="s">
        <v>1</v>
      </c>
      <c r="B2" s="6" t="s">
        <v>34</v>
      </c>
      <c r="C2" s="4" t="s">
        <v>106</v>
      </c>
      <c r="D2" s="3" t="s">
        <v>218</v>
      </c>
      <c r="E2" s="12" t="s">
        <v>197</v>
      </c>
      <c r="F2" s="13" t="s">
        <v>198</v>
      </c>
      <c r="G2" s="13" t="s">
        <v>330</v>
      </c>
      <c r="H2" s="13" t="s">
        <v>331</v>
      </c>
      <c r="I2" s="12" t="s">
        <v>199</v>
      </c>
      <c r="J2" s="44" t="s">
        <v>200</v>
      </c>
      <c r="K2" s="46" t="s">
        <v>440</v>
      </c>
      <c r="L2" s="19"/>
      <c r="M2" s="19"/>
      <c r="N2" s="19"/>
      <c r="O2" s="15"/>
      <c r="P2" s="15"/>
      <c r="Q2" s="15"/>
      <c r="R2" s="15"/>
      <c r="S2" s="15"/>
      <c r="T2" s="15"/>
      <c r="U2" s="15"/>
      <c r="V2" s="15"/>
    </row>
    <row r="3" spans="1:27" ht="15" x14ac:dyDescent="0.15">
      <c r="B3" s="6" t="s">
        <v>105</v>
      </c>
      <c r="C3" s="48" t="s">
        <v>340</v>
      </c>
      <c r="D3" s="1" t="s">
        <v>217</v>
      </c>
      <c r="E3" s="20" t="s">
        <v>196</v>
      </c>
      <c r="F3" s="7" t="s">
        <v>187</v>
      </c>
      <c r="G3" s="8" t="s">
        <v>332</v>
      </c>
      <c r="H3" s="8" t="s">
        <v>333</v>
      </c>
      <c r="I3" s="7" t="s">
        <v>188</v>
      </c>
      <c r="J3" s="45" t="s">
        <v>354</v>
      </c>
      <c r="K3" s="44" t="s">
        <v>438</v>
      </c>
      <c r="L3" s="20"/>
      <c r="M3" s="7" t="s">
        <v>189</v>
      </c>
      <c r="N3" s="7" t="s">
        <v>190</v>
      </c>
      <c r="O3" s="7" t="s">
        <v>191</v>
      </c>
      <c r="P3" s="7" t="s">
        <v>192</v>
      </c>
      <c r="Q3" s="7" t="s">
        <v>193</v>
      </c>
      <c r="R3" s="7" t="s">
        <v>194</v>
      </c>
      <c r="S3" s="7" t="s">
        <v>195</v>
      </c>
      <c r="T3" s="8" t="s">
        <v>437</v>
      </c>
      <c r="U3" s="8" t="s">
        <v>201</v>
      </c>
      <c r="V3" s="8" t="s">
        <v>229</v>
      </c>
      <c r="W3" s="38" t="s">
        <v>347</v>
      </c>
      <c r="X3" s="38" t="s">
        <v>348</v>
      </c>
      <c r="Y3" s="38" t="s">
        <v>334</v>
      </c>
      <c r="Z3" s="38" t="s">
        <v>335</v>
      </c>
    </row>
    <row r="4" spans="1:27" ht="15" x14ac:dyDescent="0.15">
      <c r="A4" s="27" t="s">
        <v>36</v>
      </c>
      <c r="B4" s="11" t="s">
        <v>326</v>
      </c>
      <c r="C4" s="12" t="s">
        <v>329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46"/>
      <c r="L4" s="34"/>
      <c r="M4" s="35">
        <v>20000</v>
      </c>
      <c r="N4" s="35">
        <v>9</v>
      </c>
      <c r="O4" s="35">
        <f>M4*5*1.1</f>
        <v>110000.00000000001</v>
      </c>
      <c r="P4" s="35">
        <v>100</v>
      </c>
      <c r="Q4" s="35">
        <v>350</v>
      </c>
      <c r="R4" s="36">
        <v>1</v>
      </c>
      <c r="S4" s="35">
        <f t="shared" ref="S4:S34" si="0">O4*0.0001</f>
        <v>11.000000000000002</v>
      </c>
      <c r="T4" s="35">
        <v>0</v>
      </c>
      <c r="U4" s="37">
        <v>200</v>
      </c>
      <c r="V4" s="7">
        <v>10</v>
      </c>
      <c r="W4" s="42">
        <v>20</v>
      </c>
      <c r="X4" s="42">
        <v>200</v>
      </c>
      <c r="Y4" s="42">
        <v>0</v>
      </c>
      <c r="Z4" s="42">
        <v>0</v>
      </c>
    </row>
    <row r="5" spans="1:27" ht="15" x14ac:dyDescent="0.15">
      <c r="A5" s="27" t="s">
        <v>37</v>
      </c>
      <c r="B5" s="11" t="s">
        <v>107</v>
      </c>
      <c r="C5" s="12" t="s">
        <v>329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46"/>
      <c r="L5" s="34"/>
      <c r="M5" s="35">
        <f>M4*10</f>
        <v>200000</v>
      </c>
      <c r="N5" s="35">
        <v>18</v>
      </c>
      <c r="O5" s="35">
        <f>M5*5</f>
        <v>1000000</v>
      </c>
      <c r="P5" s="35">
        <v>100</v>
      </c>
      <c r="Q5" s="35">
        <v>355</v>
      </c>
      <c r="R5" s="36">
        <v>1</v>
      </c>
      <c r="S5" s="35">
        <f t="shared" si="0"/>
        <v>100</v>
      </c>
      <c r="T5" s="35">
        <v>0</v>
      </c>
      <c r="U5" s="37">
        <v>200</v>
      </c>
      <c r="V5" s="7">
        <v>20</v>
      </c>
      <c r="W5" s="42">
        <v>20</v>
      </c>
      <c r="X5" s="42">
        <v>200</v>
      </c>
      <c r="Y5" s="42">
        <v>0</v>
      </c>
      <c r="Z5" s="42">
        <v>0</v>
      </c>
    </row>
    <row r="6" spans="1:27" ht="15" x14ac:dyDescent="0.15">
      <c r="A6" s="27" t="s">
        <v>40</v>
      </c>
      <c r="B6" s="11" t="s">
        <v>108</v>
      </c>
      <c r="C6" s="12" t="s">
        <v>329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46"/>
      <c r="L6" s="34"/>
      <c r="M6" s="35">
        <f>M5*2</f>
        <v>400000</v>
      </c>
      <c r="N6" s="35">
        <v>36</v>
      </c>
      <c r="O6" s="35">
        <f>O5*2</f>
        <v>2000000</v>
      </c>
      <c r="P6" s="35">
        <v>100</v>
      </c>
      <c r="Q6" s="35">
        <v>360</v>
      </c>
      <c r="R6" s="36">
        <v>1</v>
      </c>
      <c r="S6" s="35">
        <f t="shared" si="0"/>
        <v>200</v>
      </c>
      <c r="T6" s="35">
        <v>0</v>
      </c>
      <c r="U6" s="37">
        <v>200</v>
      </c>
      <c r="V6" s="7">
        <v>30</v>
      </c>
      <c r="W6" s="42">
        <v>20</v>
      </c>
      <c r="X6" s="42">
        <v>200</v>
      </c>
      <c r="Y6" s="42">
        <v>0</v>
      </c>
      <c r="Z6" s="42">
        <v>0</v>
      </c>
    </row>
    <row r="7" spans="1:27" ht="15" x14ac:dyDescent="0.15">
      <c r="A7" s="27" t="s">
        <v>42</v>
      </c>
      <c r="B7" s="11" t="s">
        <v>109</v>
      </c>
      <c r="C7" s="12" t="s">
        <v>329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46"/>
      <c r="L7" s="34"/>
      <c r="M7" s="35">
        <f>M6*2</f>
        <v>800000</v>
      </c>
      <c r="N7" s="35">
        <v>72</v>
      </c>
      <c r="O7" s="35">
        <f>O6*2</f>
        <v>4000000</v>
      </c>
      <c r="P7" s="35">
        <v>1000</v>
      </c>
      <c r="Q7" s="35">
        <v>365</v>
      </c>
      <c r="R7" s="36">
        <v>1</v>
      </c>
      <c r="S7" s="35">
        <f t="shared" si="0"/>
        <v>400</v>
      </c>
      <c r="T7" s="35">
        <v>0</v>
      </c>
      <c r="U7" s="37">
        <v>200</v>
      </c>
      <c r="V7" s="7">
        <v>40</v>
      </c>
      <c r="W7" s="42">
        <v>20</v>
      </c>
      <c r="X7" s="42">
        <v>200</v>
      </c>
      <c r="Y7" s="42">
        <v>0</v>
      </c>
      <c r="Z7" s="42">
        <v>0</v>
      </c>
    </row>
    <row r="8" spans="1:27" ht="15" x14ac:dyDescent="0.15">
      <c r="A8" s="27" t="s">
        <v>38</v>
      </c>
      <c r="B8" s="11" t="s">
        <v>110</v>
      </c>
      <c r="C8" s="12" t="s">
        <v>329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46"/>
      <c r="L8" s="34"/>
      <c r="M8" s="39">
        <v>4000000</v>
      </c>
      <c r="N8" s="39">
        <v>144</v>
      </c>
      <c r="O8" s="39">
        <v>8000000</v>
      </c>
      <c r="P8" s="35">
        <v>1000</v>
      </c>
      <c r="Q8" s="35">
        <v>370</v>
      </c>
      <c r="R8" s="36">
        <v>1</v>
      </c>
      <c r="S8" s="35">
        <f t="shared" si="0"/>
        <v>800</v>
      </c>
      <c r="T8" s="35">
        <v>0</v>
      </c>
      <c r="U8" s="37">
        <v>200</v>
      </c>
      <c r="V8" s="7">
        <v>50</v>
      </c>
      <c r="W8" s="42">
        <v>20</v>
      </c>
      <c r="X8" s="42">
        <v>200</v>
      </c>
      <c r="Y8" s="42">
        <v>0</v>
      </c>
      <c r="Z8" s="42">
        <v>0</v>
      </c>
    </row>
    <row r="9" spans="1:27" ht="15" x14ac:dyDescent="0.15">
      <c r="A9" s="27" t="s">
        <v>44</v>
      </c>
      <c r="B9" s="11" t="s">
        <v>111</v>
      </c>
      <c r="C9" s="12" t="s">
        <v>329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46"/>
      <c r="L9" s="34"/>
      <c r="M9" s="35">
        <f>M8*2</f>
        <v>8000000</v>
      </c>
      <c r="N9" s="35">
        <f t="shared" ref="N9" si="1">N8*2</f>
        <v>288</v>
      </c>
      <c r="O9" s="35">
        <f>O8*2*1.1</f>
        <v>17600000</v>
      </c>
      <c r="P9" s="35">
        <v>10000</v>
      </c>
      <c r="Q9" s="35">
        <v>375</v>
      </c>
      <c r="R9" s="36">
        <v>1</v>
      </c>
      <c r="S9" s="35">
        <f t="shared" si="0"/>
        <v>1760</v>
      </c>
      <c r="T9" s="35">
        <v>0</v>
      </c>
      <c r="U9" s="37">
        <v>200</v>
      </c>
      <c r="V9" s="7">
        <v>60</v>
      </c>
      <c r="W9" s="42">
        <v>20</v>
      </c>
      <c r="X9" s="42">
        <v>500</v>
      </c>
      <c r="Y9" s="42">
        <v>0</v>
      </c>
      <c r="Z9" s="42">
        <v>0</v>
      </c>
    </row>
    <row r="10" spans="1:27" ht="15" x14ac:dyDescent="0.15">
      <c r="A10" s="27" t="s">
        <v>46</v>
      </c>
      <c r="B10" s="11" t="s">
        <v>112</v>
      </c>
      <c r="C10" s="12" t="s">
        <v>329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46"/>
      <c r="L10" s="34"/>
      <c r="M10" s="35">
        <f>M9*1.5</f>
        <v>12000000</v>
      </c>
      <c r="N10" s="35">
        <f t="shared" ref="N10" si="2">N9*1.5</f>
        <v>432</v>
      </c>
      <c r="O10" s="35">
        <f>O9*1.5</f>
        <v>26400000</v>
      </c>
      <c r="P10" s="35">
        <v>10000</v>
      </c>
      <c r="Q10" s="35">
        <v>380</v>
      </c>
      <c r="R10" s="36">
        <v>1</v>
      </c>
      <c r="S10" s="35">
        <f t="shared" si="0"/>
        <v>2640</v>
      </c>
      <c r="T10" s="35">
        <v>0</v>
      </c>
      <c r="U10" s="37">
        <v>200</v>
      </c>
      <c r="V10" s="7">
        <v>70</v>
      </c>
      <c r="W10" s="42">
        <v>20</v>
      </c>
      <c r="X10" s="42">
        <v>500</v>
      </c>
      <c r="Y10" s="42">
        <v>0</v>
      </c>
      <c r="Z10" s="42">
        <v>0</v>
      </c>
    </row>
    <row r="11" spans="1:27" ht="15" x14ac:dyDescent="0.15">
      <c r="A11" s="27" t="s">
        <v>48</v>
      </c>
      <c r="B11" s="11" t="s">
        <v>113</v>
      </c>
      <c r="C11" s="12" t="s">
        <v>329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46"/>
      <c r="L11" s="34"/>
      <c r="M11" s="35">
        <f>M10*1.5</f>
        <v>18000000</v>
      </c>
      <c r="N11" s="35">
        <f t="shared" ref="N11:O11" si="3">N10*1.5</f>
        <v>648</v>
      </c>
      <c r="O11" s="35">
        <f t="shared" si="3"/>
        <v>39600000</v>
      </c>
      <c r="P11" s="35">
        <v>10000</v>
      </c>
      <c r="Q11" s="35">
        <v>385</v>
      </c>
      <c r="R11" s="36">
        <v>1</v>
      </c>
      <c r="S11" s="35">
        <f t="shared" si="0"/>
        <v>3960</v>
      </c>
      <c r="T11" s="35">
        <v>0</v>
      </c>
      <c r="U11" s="37">
        <v>200</v>
      </c>
      <c r="V11" s="7">
        <v>80</v>
      </c>
      <c r="W11" s="42">
        <v>20</v>
      </c>
      <c r="X11" s="42">
        <v>500</v>
      </c>
      <c r="Y11" s="42">
        <v>0</v>
      </c>
      <c r="Z11" s="42">
        <v>0</v>
      </c>
    </row>
    <row r="12" spans="1:27" ht="15" x14ac:dyDescent="0.15">
      <c r="A12" s="27" t="s">
        <v>51</v>
      </c>
      <c r="B12" s="11" t="s">
        <v>114</v>
      </c>
      <c r="C12" s="12" t="s">
        <v>329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46"/>
      <c r="L12" s="34"/>
      <c r="M12" s="35">
        <f>M11*1.5</f>
        <v>27000000</v>
      </c>
      <c r="N12" s="35">
        <f t="shared" ref="N12:O12" si="4">N11*1.5</f>
        <v>972</v>
      </c>
      <c r="O12" s="35">
        <f t="shared" si="4"/>
        <v>59400000</v>
      </c>
      <c r="P12" s="35">
        <v>10000</v>
      </c>
      <c r="Q12" s="35">
        <v>390</v>
      </c>
      <c r="R12" s="36">
        <v>1</v>
      </c>
      <c r="S12" s="35">
        <f t="shared" si="0"/>
        <v>5940</v>
      </c>
      <c r="T12" s="35">
        <v>0</v>
      </c>
      <c r="U12" s="37">
        <v>200</v>
      </c>
      <c r="V12" s="7">
        <v>90</v>
      </c>
      <c r="W12" s="42">
        <v>20</v>
      </c>
      <c r="X12" s="42">
        <v>500</v>
      </c>
      <c r="Y12" s="42">
        <v>0</v>
      </c>
      <c r="Z12" s="42">
        <v>0</v>
      </c>
    </row>
    <row r="13" spans="1:27" ht="15" x14ac:dyDescent="0.15">
      <c r="A13" s="27" t="s">
        <v>53</v>
      </c>
      <c r="B13" s="11" t="s">
        <v>115</v>
      </c>
      <c r="C13" s="12" t="s">
        <v>329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46"/>
      <c r="L13" s="34"/>
      <c r="M13" s="35">
        <f>M12*1.4</f>
        <v>37800000</v>
      </c>
      <c r="N13" s="35">
        <f t="shared" ref="N13:O13" si="5">N12*1.4</f>
        <v>1360.8</v>
      </c>
      <c r="O13" s="35">
        <f t="shared" si="5"/>
        <v>83160000</v>
      </c>
      <c r="P13" s="35">
        <v>10000</v>
      </c>
      <c r="Q13" s="35">
        <v>395</v>
      </c>
      <c r="R13" s="36">
        <v>0.9</v>
      </c>
      <c r="S13" s="35">
        <f t="shared" si="0"/>
        <v>8316</v>
      </c>
      <c r="T13" s="35">
        <v>0</v>
      </c>
      <c r="U13" s="37">
        <v>200</v>
      </c>
      <c r="V13" s="7">
        <v>100</v>
      </c>
      <c r="W13" s="42">
        <v>20</v>
      </c>
      <c r="X13" s="42">
        <v>500</v>
      </c>
      <c r="Y13" s="42">
        <v>0</v>
      </c>
      <c r="Z13" s="42">
        <v>0</v>
      </c>
    </row>
    <row r="14" spans="1:27" ht="15" x14ac:dyDescent="0.15">
      <c r="A14" s="27" t="s">
        <v>55</v>
      </c>
      <c r="B14" s="11" t="s">
        <v>116</v>
      </c>
      <c r="C14" s="12" t="s">
        <v>329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46"/>
      <c r="L14" s="34"/>
      <c r="M14" s="35">
        <f>M13*1.3</f>
        <v>49140000</v>
      </c>
      <c r="N14" s="35">
        <f t="shared" ref="N14:O14" si="6">N13*1.3</f>
        <v>1769.04</v>
      </c>
      <c r="O14" s="35">
        <f t="shared" si="6"/>
        <v>108108000</v>
      </c>
      <c r="P14" s="35">
        <v>10000</v>
      </c>
      <c r="Q14" s="35">
        <v>400</v>
      </c>
      <c r="R14" s="36">
        <v>0.9</v>
      </c>
      <c r="S14" s="35">
        <f t="shared" si="0"/>
        <v>10810.800000000001</v>
      </c>
      <c r="T14" s="35">
        <v>0</v>
      </c>
      <c r="U14" s="37">
        <v>200</v>
      </c>
      <c r="V14" s="7">
        <v>150</v>
      </c>
      <c r="W14" s="42">
        <v>20</v>
      </c>
      <c r="X14" s="42">
        <v>1500</v>
      </c>
      <c r="Y14" s="42">
        <v>5</v>
      </c>
      <c r="Z14" s="42">
        <v>50</v>
      </c>
    </row>
    <row r="15" spans="1:27" ht="15" x14ac:dyDescent="0.15">
      <c r="A15" s="27" t="s">
        <v>57</v>
      </c>
      <c r="B15" s="11" t="s">
        <v>117</v>
      </c>
      <c r="C15" s="12" t="s">
        <v>329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46"/>
      <c r="L15" s="34"/>
      <c r="M15" s="35">
        <f>M14*1.3</f>
        <v>63882000</v>
      </c>
      <c r="N15" s="35">
        <f>N14*1.3</f>
        <v>2299.752</v>
      </c>
      <c r="O15" s="35">
        <f>O14*1.3</f>
        <v>140540400</v>
      </c>
      <c r="P15" s="35">
        <v>10000</v>
      </c>
      <c r="Q15" s="35">
        <v>405</v>
      </c>
      <c r="R15" s="36">
        <v>0.9</v>
      </c>
      <c r="S15" s="35">
        <f t="shared" si="0"/>
        <v>14054.04</v>
      </c>
      <c r="T15" s="35">
        <v>0</v>
      </c>
      <c r="U15" s="37">
        <v>200</v>
      </c>
      <c r="V15" s="7">
        <v>150</v>
      </c>
      <c r="W15" s="42">
        <v>20</v>
      </c>
      <c r="X15" s="42">
        <v>1500</v>
      </c>
      <c r="Y15" s="42">
        <v>5</v>
      </c>
      <c r="Z15" s="42">
        <v>50</v>
      </c>
    </row>
    <row r="16" spans="1:27" ht="15" x14ac:dyDescent="0.15">
      <c r="A16" s="27" t="s">
        <v>15</v>
      </c>
      <c r="B16" s="11" t="s">
        <v>118</v>
      </c>
      <c r="C16" s="12" t="s">
        <v>329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46"/>
      <c r="L16" s="34"/>
      <c r="M16" s="35">
        <f t="shared" ref="M16:M23" si="7">M15*1.2</f>
        <v>76658400</v>
      </c>
      <c r="N16" s="35">
        <f>N15*1.2</f>
        <v>2759.7023999999997</v>
      </c>
      <c r="O16" s="35">
        <f t="shared" ref="O16" si="8">O15*1.2</f>
        <v>168648480</v>
      </c>
      <c r="P16" s="35">
        <v>10000</v>
      </c>
      <c r="Q16" s="35">
        <v>410</v>
      </c>
      <c r="R16" s="36">
        <v>0.9</v>
      </c>
      <c r="S16" s="35">
        <f t="shared" si="0"/>
        <v>16864.848000000002</v>
      </c>
      <c r="T16" s="35">
        <v>0</v>
      </c>
      <c r="U16" s="37">
        <v>200</v>
      </c>
      <c r="V16" s="7">
        <v>150</v>
      </c>
      <c r="W16" s="42">
        <v>20</v>
      </c>
      <c r="X16" s="42">
        <v>1500</v>
      </c>
      <c r="Y16" s="42">
        <v>5</v>
      </c>
      <c r="Z16" s="42">
        <v>50</v>
      </c>
    </row>
    <row r="17" spans="1:26" ht="14.25" customHeight="1" x14ac:dyDescent="0.15">
      <c r="A17" s="27" t="s">
        <v>60</v>
      </c>
      <c r="B17" s="11" t="s">
        <v>119</v>
      </c>
      <c r="C17" s="12" t="s">
        <v>329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46"/>
      <c r="L17" s="34"/>
      <c r="M17" s="35">
        <f t="shared" si="7"/>
        <v>91990080</v>
      </c>
      <c r="N17" s="35">
        <f t="shared" ref="N17:O17" si="9">N16*1.2</f>
        <v>3311.6428799999994</v>
      </c>
      <c r="O17" s="35">
        <f t="shared" si="9"/>
        <v>202378176</v>
      </c>
      <c r="P17" s="35">
        <v>10000</v>
      </c>
      <c r="Q17" s="35">
        <v>415</v>
      </c>
      <c r="R17" s="36">
        <v>0.9</v>
      </c>
      <c r="S17" s="35">
        <f t="shared" si="0"/>
        <v>20237.817600000002</v>
      </c>
      <c r="T17" s="35">
        <v>0</v>
      </c>
      <c r="U17" s="37">
        <v>200</v>
      </c>
      <c r="V17" s="7">
        <v>150</v>
      </c>
      <c r="W17" s="42">
        <v>20</v>
      </c>
      <c r="X17" s="42">
        <v>1500</v>
      </c>
      <c r="Y17" s="42">
        <v>5</v>
      </c>
      <c r="Z17" s="42">
        <v>50</v>
      </c>
    </row>
    <row r="18" spans="1:26" ht="15" x14ac:dyDescent="0.15">
      <c r="A18" s="27" t="s">
        <v>62</v>
      </c>
      <c r="B18" s="11" t="s">
        <v>120</v>
      </c>
      <c r="C18" s="12" t="s">
        <v>329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46"/>
      <c r="L18" s="34"/>
      <c r="M18" s="35">
        <f t="shared" si="7"/>
        <v>110388096</v>
      </c>
      <c r="N18" s="35">
        <f t="shared" ref="N18:O18" si="10">N17*1.2</f>
        <v>3973.9714559999993</v>
      </c>
      <c r="O18" s="35">
        <f t="shared" si="10"/>
        <v>242853811.19999999</v>
      </c>
      <c r="P18" s="35">
        <v>10000</v>
      </c>
      <c r="Q18" s="35">
        <v>420</v>
      </c>
      <c r="R18" s="36">
        <v>0.9</v>
      </c>
      <c r="S18" s="35">
        <f t="shared" si="0"/>
        <v>24285.381119999998</v>
      </c>
      <c r="T18" s="35">
        <v>0</v>
      </c>
      <c r="U18" s="37">
        <v>200</v>
      </c>
      <c r="V18" s="7">
        <v>150</v>
      </c>
      <c r="W18" s="42">
        <v>20</v>
      </c>
      <c r="X18" s="42">
        <v>1500</v>
      </c>
      <c r="Y18" s="42">
        <v>5</v>
      </c>
      <c r="Z18" s="42">
        <v>50</v>
      </c>
    </row>
    <row r="19" spans="1:26" ht="15" x14ac:dyDescent="0.15">
      <c r="A19" s="27" t="s">
        <v>64</v>
      </c>
      <c r="B19" s="11" t="s">
        <v>121</v>
      </c>
      <c r="C19" s="12" t="s">
        <v>329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46"/>
      <c r="L19" s="34"/>
      <c r="M19" s="35">
        <f>M18*1.4</f>
        <v>154543334.39999998</v>
      </c>
      <c r="N19" s="35">
        <f t="shared" ref="N19:O19" si="11">N18*1.4</f>
        <v>5563.560038399999</v>
      </c>
      <c r="O19" s="35">
        <f t="shared" si="11"/>
        <v>339995335.67999995</v>
      </c>
      <c r="P19" s="35">
        <v>10000</v>
      </c>
      <c r="Q19" s="35">
        <v>425</v>
      </c>
      <c r="R19" s="36">
        <v>0.9</v>
      </c>
      <c r="S19" s="35">
        <f t="shared" si="0"/>
        <v>33999.533567999999</v>
      </c>
      <c r="T19" s="35">
        <v>0</v>
      </c>
      <c r="U19" s="37">
        <v>200</v>
      </c>
      <c r="V19" s="7">
        <v>200</v>
      </c>
      <c r="W19" s="42">
        <v>20</v>
      </c>
      <c r="X19" s="42">
        <v>3500</v>
      </c>
      <c r="Y19" s="42">
        <v>10</v>
      </c>
      <c r="Z19" s="42">
        <v>100</v>
      </c>
    </row>
    <row r="20" spans="1:26" ht="15" x14ac:dyDescent="0.15">
      <c r="A20" s="27" t="s">
        <v>66</v>
      </c>
      <c r="B20" s="11" t="s">
        <v>122</v>
      </c>
      <c r="C20" s="12" t="s">
        <v>329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46"/>
      <c r="L20" s="34"/>
      <c r="M20" s="35">
        <f>M19*1.3</f>
        <v>200906334.71999997</v>
      </c>
      <c r="N20" s="35">
        <f t="shared" ref="N20:O20" si="12">N19*1.3</f>
        <v>7232.6280499199993</v>
      </c>
      <c r="O20" s="35">
        <f t="shared" si="12"/>
        <v>441993936.38399994</v>
      </c>
      <c r="P20" s="35">
        <v>10000</v>
      </c>
      <c r="Q20" s="35">
        <v>430</v>
      </c>
      <c r="R20" s="36">
        <v>0.9</v>
      </c>
      <c r="S20" s="35">
        <f t="shared" si="0"/>
        <v>44199.393638399997</v>
      </c>
      <c r="T20" s="35">
        <v>0</v>
      </c>
      <c r="U20" s="37">
        <v>200</v>
      </c>
      <c r="V20" s="7">
        <v>200</v>
      </c>
      <c r="W20" s="42">
        <v>20</v>
      </c>
      <c r="X20" s="42">
        <v>3500</v>
      </c>
      <c r="Y20" s="42">
        <v>10</v>
      </c>
      <c r="Z20" s="42">
        <v>100</v>
      </c>
    </row>
    <row r="21" spans="1:26" ht="15" x14ac:dyDescent="0.15">
      <c r="A21" s="27" t="s">
        <v>70</v>
      </c>
      <c r="B21" s="11" t="s">
        <v>123</v>
      </c>
      <c r="C21" s="12" t="s">
        <v>329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46"/>
      <c r="L21" s="34"/>
      <c r="M21" s="35">
        <f t="shared" si="7"/>
        <v>241087601.66399994</v>
      </c>
      <c r="N21" s="35">
        <f t="shared" ref="N21:O21" si="13">N20*1.2</f>
        <v>8679.1536599039991</v>
      </c>
      <c r="O21" s="35">
        <f t="shared" si="13"/>
        <v>530392723.66079992</v>
      </c>
      <c r="P21" s="35">
        <v>10000</v>
      </c>
      <c r="Q21" s="35">
        <v>435</v>
      </c>
      <c r="R21" s="36">
        <v>0.9</v>
      </c>
      <c r="S21" s="35">
        <f t="shared" si="0"/>
        <v>53039.272366079997</v>
      </c>
      <c r="T21" s="35">
        <v>0</v>
      </c>
      <c r="U21" s="37">
        <v>200</v>
      </c>
      <c r="V21" s="7">
        <v>200</v>
      </c>
      <c r="W21" s="42">
        <v>20</v>
      </c>
      <c r="X21" s="42">
        <v>3500</v>
      </c>
      <c r="Y21" s="42">
        <v>10</v>
      </c>
      <c r="Z21" s="42">
        <v>100</v>
      </c>
    </row>
    <row r="22" spans="1:26" ht="15" x14ac:dyDescent="0.15">
      <c r="A22" s="29" t="s">
        <v>68</v>
      </c>
      <c r="B22" s="11" t="s">
        <v>124</v>
      </c>
      <c r="C22" s="12" t="s">
        <v>329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46"/>
      <c r="L22" s="34"/>
      <c r="M22" s="35">
        <f t="shared" si="7"/>
        <v>289305121.99679995</v>
      </c>
      <c r="N22" s="35">
        <f t="shared" ref="N22:O22" si="14">N21*1.2</f>
        <v>10414.984391884798</v>
      </c>
      <c r="O22" s="35">
        <f t="shared" si="14"/>
        <v>636471268.39295983</v>
      </c>
      <c r="P22" s="35">
        <v>10000</v>
      </c>
      <c r="Q22" s="35">
        <v>440</v>
      </c>
      <c r="R22" s="36">
        <v>0.9</v>
      </c>
      <c r="S22" s="35">
        <f t="shared" si="0"/>
        <v>63647.126839295983</v>
      </c>
      <c r="T22" s="35">
        <v>0</v>
      </c>
      <c r="U22" s="37">
        <v>200</v>
      </c>
      <c r="V22" s="7">
        <v>200</v>
      </c>
      <c r="W22" s="42">
        <v>20</v>
      </c>
      <c r="X22" s="42">
        <v>3500</v>
      </c>
      <c r="Y22" s="42">
        <v>10</v>
      </c>
      <c r="Z22" s="42">
        <v>100</v>
      </c>
    </row>
    <row r="23" spans="1:26" ht="15" x14ac:dyDescent="0.15">
      <c r="A23" s="29" t="s">
        <v>80</v>
      </c>
      <c r="B23" s="11" t="s">
        <v>125</v>
      </c>
      <c r="C23" s="12" t="s">
        <v>329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46"/>
      <c r="L23" s="34"/>
      <c r="M23" s="35">
        <f t="shared" si="7"/>
        <v>347166146.39615995</v>
      </c>
      <c r="N23" s="35">
        <f t="shared" ref="N23:O23" si="15">N22*1.2</f>
        <v>12497.981270261758</v>
      </c>
      <c r="O23" s="35">
        <f t="shared" si="15"/>
        <v>763765522.0715518</v>
      </c>
      <c r="P23" s="35">
        <v>10000</v>
      </c>
      <c r="Q23" s="35">
        <v>445</v>
      </c>
      <c r="R23" s="36">
        <v>0.9</v>
      </c>
      <c r="S23" s="35">
        <f t="shared" si="0"/>
        <v>76376.552207155182</v>
      </c>
      <c r="T23" s="35">
        <v>0</v>
      </c>
      <c r="U23" s="37">
        <v>200</v>
      </c>
      <c r="V23" s="7">
        <v>200</v>
      </c>
      <c r="W23" s="42">
        <v>20</v>
      </c>
      <c r="X23" s="42">
        <v>3500</v>
      </c>
      <c r="Y23" s="42">
        <v>10</v>
      </c>
      <c r="Z23" s="42">
        <v>100</v>
      </c>
    </row>
    <row r="24" spans="1:26" ht="15" x14ac:dyDescent="0.15">
      <c r="A24" s="27" t="s">
        <v>78</v>
      </c>
      <c r="B24" s="11" t="s">
        <v>126</v>
      </c>
      <c r="C24" s="12" t="s">
        <v>329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46"/>
      <c r="L24" s="34"/>
      <c r="M24" s="35">
        <f>M23*1.4</f>
        <v>486032604.95462388</v>
      </c>
      <c r="N24" s="35">
        <f t="shared" ref="N24:O24" si="16">N23*1.4</f>
        <v>17497.173778366461</v>
      </c>
      <c r="O24" s="35">
        <f t="shared" si="16"/>
        <v>1069271730.9001725</v>
      </c>
      <c r="P24" s="35">
        <v>10000</v>
      </c>
      <c r="Q24" s="35">
        <v>450</v>
      </c>
      <c r="R24" s="36">
        <v>0.75</v>
      </c>
      <c r="S24" s="35">
        <f t="shared" si="0"/>
        <v>106927.17309001726</v>
      </c>
      <c r="T24" s="35">
        <v>0</v>
      </c>
      <c r="U24" s="37">
        <v>200</v>
      </c>
      <c r="V24" s="7">
        <v>300</v>
      </c>
      <c r="W24" s="42">
        <v>20</v>
      </c>
      <c r="X24" s="42">
        <v>7500</v>
      </c>
      <c r="Y24" s="42">
        <v>20</v>
      </c>
      <c r="Z24" s="42">
        <v>200</v>
      </c>
    </row>
    <row r="25" spans="1:26" ht="15" x14ac:dyDescent="0.15">
      <c r="A25" s="27" t="s">
        <v>82</v>
      </c>
      <c r="B25" s="11" t="s">
        <v>127</v>
      </c>
      <c r="C25" s="12" t="s">
        <v>329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46"/>
      <c r="L25" s="34"/>
      <c r="M25" s="35">
        <f>M24*1.3</f>
        <v>631842386.44101107</v>
      </c>
      <c r="N25" s="35">
        <f t="shared" ref="N25:O25" si="17">N24*1.3</f>
        <v>22746.3259118764</v>
      </c>
      <c r="O25" s="35">
        <f t="shared" si="17"/>
        <v>1390053250.1702242</v>
      </c>
      <c r="P25" s="35">
        <v>10000</v>
      </c>
      <c r="Q25" s="35">
        <v>455</v>
      </c>
      <c r="R25" s="36">
        <v>0.75</v>
      </c>
      <c r="S25" s="35">
        <f t="shared" si="0"/>
        <v>139005.32501702243</v>
      </c>
      <c r="T25" s="35">
        <v>0</v>
      </c>
      <c r="U25" s="37">
        <v>200</v>
      </c>
      <c r="V25" s="7">
        <v>300</v>
      </c>
      <c r="W25" s="42">
        <v>20</v>
      </c>
      <c r="X25" s="42">
        <v>7500</v>
      </c>
      <c r="Y25" s="42">
        <v>20</v>
      </c>
      <c r="Z25" s="42">
        <v>200</v>
      </c>
    </row>
    <row r="26" spans="1:26" ht="15" x14ac:dyDescent="0.15">
      <c r="A26" s="27" t="s">
        <v>76</v>
      </c>
      <c r="B26" s="11" t="s">
        <v>128</v>
      </c>
      <c r="C26" s="12" t="s">
        <v>329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46"/>
      <c r="L26" s="34"/>
      <c r="M26" s="35">
        <f>M25*1.3</f>
        <v>821395102.37331438</v>
      </c>
      <c r="N26" s="35">
        <f t="shared" ref="N26:O27" si="18">N25*1.3</f>
        <v>29570.22368543932</v>
      </c>
      <c r="O26" s="35">
        <f t="shared" si="18"/>
        <v>1807069225.2212915</v>
      </c>
      <c r="P26" s="35">
        <v>10000</v>
      </c>
      <c r="Q26" s="35">
        <v>460</v>
      </c>
      <c r="R26" s="36">
        <v>0.75</v>
      </c>
      <c r="S26" s="35">
        <f t="shared" si="0"/>
        <v>180706.92252212917</v>
      </c>
      <c r="T26" s="35">
        <v>0</v>
      </c>
      <c r="U26" s="37">
        <v>200</v>
      </c>
      <c r="V26" s="7">
        <v>300</v>
      </c>
      <c r="W26" s="42">
        <v>20</v>
      </c>
      <c r="X26" s="42">
        <v>7500</v>
      </c>
      <c r="Y26" s="42">
        <v>20</v>
      </c>
      <c r="Z26" s="42">
        <v>200</v>
      </c>
    </row>
    <row r="27" spans="1:26" ht="15" x14ac:dyDescent="0.15">
      <c r="A27" s="27" t="s">
        <v>74</v>
      </c>
      <c r="B27" s="11" t="s">
        <v>129</v>
      </c>
      <c r="C27" s="12" t="s">
        <v>329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46"/>
      <c r="L27" s="34"/>
      <c r="M27" s="35">
        <f>M26*1.3</f>
        <v>1067813633.0853088</v>
      </c>
      <c r="N27" s="35">
        <f t="shared" si="18"/>
        <v>38441.290791071115</v>
      </c>
      <c r="O27" s="35">
        <f t="shared" si="18"/>
        <v>2349189992.7876792</v>
      </c>
      <c r="P27" s="35">
        <v>10000</v>
      </c>
      <c r="Q27" s="35">
        <v>465</v>
      </c>
      <c r="R27" s="36">
        <v>0.75</v>
      </c>
      <c r="S27" s="35">
        <f t="shared" si="0"/>
        <v>234918.99927876794</v>
      </c>
      <c r="T27" s="35">
        <v>0</v>
      </c>
      <c r="U27" s="37">
        <v>200</v>
      </c>
      <c r="V27" s="7">
        <v>300</v>
      </c>
      <c r="W27" s="42">
        <v>20</v>
      </c>
      <c r="X27" s="42">
        <v>7500</v>
      </c>
      <c r="Y27" s="42">
        <v>20</v>
      </c>
      <c r="Z27" s="42">
        <v>200</v>
      </c>
    </row>
    <row r="28" spans="1:26" ht="15" x14ac:dyDescent="0.15">
      <c r="A28" s="27" t="s">
        <v>72</v>
      </c>
      <c r="B28" s="11" t="s">
        <v>130</v>
      </c>
      <c r="C28" s="12" t="s">
        <v>329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46"/>
      <c r="L28" s="34"/>
      <c r="M28" s="35">
        <f>M27*1.2</f>
        <v>1281376359.7023704</v>
      </c>
      <c r="N28" s="35">
        <f t="shared" ref="N28:O28" si="19">N27*1.2</f>
        <v>46129.548949285338</v>
      </c>
      <c r="O28" s="35">
        <f t="shared" si="19"/>
        <v>2819027991.3452148</v>
      </c>
      <c r="P28" s="35">
        <v>10000</v>
      </c>
      <c r="Q28" s="35">
        <v>470</v>
      </c>
      <c r="R28" s="36">
        <v>0.75</v>
      </c>
      <c r="S28" s="35">
        <f t="shared" si="0"/>
        <v>281902.79913452151</v>
      </c>
      <c r="T28" s="35">
        <v>0</v>
      </c>
      <c r="U28" s="37">
        <v>200</v>
      </c>
      <c r="V28" s="7">
        <v>300</v>
      </c>
      <c r="W28" s="42">
        <v>20</v>
      </c>
      <c r="X28" s="42">
        <v>7500</v>
      </c>
      <c r="Y28" s="42">
        <v>20</v>
      </c>
      <c r="Z28" s="42">
        <v>200</v>
      </c>
    </row>
    <row r="29" spans="1:26" ht="15" x14ac:dyDescent="0.15">
      <c r="A29" s="27" t="s">
        <v>84</v>
      </c>
      <c r="B29" s="11" t="s">
        <v>131</v>
      </c>
      <c r="C29" s="12" t="s">
        <v>341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46"/>
      <c r="L29" s="34"/>
      <c r="M29" s="7">
        <f>M8*5</f>
        <v>20000000</v>
      </c>
      <c r="N29" s="7">
        <f t="shared" ref="N29:O29" si="20">N8*5</f>
        <v>720</v>
      </c>
      <c r="O29" s="7">
        <f t="shared" si="20"/>
        <v>40000000</v>
      </c>
      <c r="P29" s="35">
        <v>10000</v>
      </c>
      <c r="Q29" s="35">
        <v>370</v>
      </c>
      <c r="R29" s="36">
        <v>1</v>
      </c>
      <c r="S29" s="35">
        <f t="shared" si="0"/>
        <v>4000</v>
      </c>
      <c r="T29" s="35">
        <v>0</v>
      </c>
      <c r="U29" s="7">
        <v>200</v>
      </c>
      <c r="V29" s="7">
        <f>V8*5</f>
        <v>250</v>
      </c>
      <c r="W29" s="42">
        <v>20</v>
      </c>
      <c r="X29" s="42">
        <v>2700</v>
      </c>
      <c r="Y29" s="42">
        <v>0</v>
      </c>
      <c r="Z29" s="42">
        <v>0</v>
      </c>
    </row>
    <row r="30" spans="1:26" ht="15" x14ac:dyDescent="0.15">
      <c r="A30" s="27" t="s">
        <v>243</v>
      </c>
      <c r="B30" s="11" t="s">
        <v>132</v>
      </c>
      <c r="C30" s="12" t="s">
        <v>341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46"/>
      <c r="L30" s="34"/>
      <c r="M30" s="7">
        <f>M13*5</f>
        <v>189000000</v>
      </c>
      <c r="N30" s="7">
        <f t="shared" ref="N30" si="21">N13*5</f>
        <v>6804</v>
      </c>
      <c r="O30" s="7">
        <f>O13*5</f>
        <v>415800000</v>
      </c>
      <c r="P30" s="35">
        <v>10000</v>
      </c>
      <c r="Q30" s="35">
        <v>395</v>
      </c>
      <c r="R30" s="36">
        <v>0.9</v>
      </c>
      <c r="S30" s="35">
        <f t="shared" si="0"/>
        <v>41580</v>
      </c>
      <c r="T30" s="35">
        <v>0</v>
      </c>
      <c r="U30" s="7">
        <v>200</v>
      </c>
      <c r="V30" s="7">
        <f>V13*5</f>
        <v>500</v>
      </c>
      <c r="W30" s="42">
        <v>20</v>
      </c>
      <c r="X30" s="42">
        <v>6912</v>
      </c>
      <c r="Y30" s="42">
        <v>0</v>
      </c>
      <c r="Z30" s="42">
        <v>0</v>
      </c>
    </row>
    <row r="31" spans="1:26" ht="15" x14ac:dyDescent="0.15">
      <c r="A31" s="27" t="s">
        <v>244</v>
      </c>
      <c r="B31" s="11" t="s">
        <v>133</v>
      </c>
      <c r="C31" s="12" t="s">
        <v>341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46"/>
      <c r="L31" s="34"/>
      <c r="M31" s="7">
        <f>M18*5</f>
        <v>551940480</v>
      </c>
      <c r="N31" s="7">
        <f t="shared" ref="N31:O31" si="22">N18*5</f>
        <v>19869.857279999997</v>
      </c>
      <c r="O31" s="7">
        <f t="shared" si="22"/>
        <v>1214269056</v>
      </c>
      <c r="P31" s="35">
        <v>10000</v>
      </c>
      <c r="Q31" s="35">
        <v>410</v>
      </c>
      <c r="R31" s="36">
        <v>0.8</v>
      </c>
      <c r="S31" s="35">
        <f t="shared" si="0"/>
        <v>121426.90560000001</v>
      </c>
      <c r="T31" s="35">
        <v>0</v>
      </c>
      <c r="U31" s="7">
        <v>200</v>
      </c>
      <c r="V31" s="7">
        <f>V18*5</f>
        <v>750</v>
      </c>
      <c r="W31" s="42">
        <v>20</v>
      </c>
      <c r="X31" s="42">
        <v>13500</v>
      </c>
      <c r="Y31" s="42">
        <v>5</v>
      </c>
      <c r="Z31" s="42">
        <v>50</v>
      </c>
    </row>
    <row r="32" spans="1:26" ht="15" x14ac:dyDescent="0.15">
      <c r="A32" s="31" t="s">
        <v>245</v>
      </c>
      <c r="B32" s="11" t="s">
        <v>134</v>
      </c>
      <c r="C32" s="12" t="s">
        <v>341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46"/>
      <c r="L32" s="34"/>
      <c r="M32" s="7">
        <f>M23*5</f>
        <v>1735830731.9807997</v>
      </c>
      <c r="N32" s="7">
        <f>N23*5</f>
        <v>62489.906351308789</v>
      </c>
      <c r="O32" s="7">
        <f t="shared" ref="O32" si="23">O23*5</f>
        <v>3818827610.357759</v>
      </c>
      <c r="P32" s="35">
        <v>10000</v>
      </c>
      <c r="Q32" s="35">
        <v>435</v>
      </c>
      <c r="R32" s="36">
        <v>0.6</v>
      </c>
      <c r="S32" s="35">
        <f t="shared" si="0"/>
        <v>381882.76103577594</v>
      </c>
      <c r="T32" s="35">
        <v>0</v>
      </c>
      <c r="U32" s="7">
        <v>200</v>
      </c>
      <c r="V32" s="7">
        <f>V23*5</f>
        <v>1000</v>
      </c>
      <c r="W32" s="42">
        <v>20</v>
      </c>
      <c r="X32" s="42">
        <v>25000</v>
      </c>
      <c r="Y32" s="42">
        <v>20</v>
      </c>
      <c r="Z32" s="42">
        <v>500</v>
      </c>
    </row>
    <row r="33" spans="1:26" ht="15" x14ac:dyDescent="0.15">
      <c r="A33" s="31" t="s">
        <v>246</v>
      </c>
      <c r="B33" s="11" t="s">
        <v>135</v>
      </c>
      <c r="C33" s="12" t="s">
        <v>341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46"/>
      <c r="L33" s="34"/>
      <c r="M33" s="7">
        <f>M32*1.8</f>
        <v>3124495317.5654397</v>
      </c>
      <c r="N33" s="7">
        <f>N32*1.8</f>
        <v>112481.83143235583</v>
      </c>
      <c r="O33" s="7">
        <f>O32*1.8</f>
        <v>6873889698.6439667</v>
      </c>
      <c r="P33" s="35">
        <v>10000</v>
      </c>
      <c r="Q33" s="7">
        <v>470</v>
      </c>
      <c r="R33" s="36">
        <v>0.5</v>
      </c>
      <c r="S33" s="35">
        <f t="shared" si="0"/>
        <v>687388.96986439673</v>
      </c>
      <c r="T33" s="35">
        <v>100</v>
      </c>
      <c r="U33" s="7">
        <v>200</v>
      </c>
      <c r="V33" s="7">
        <f>V28*5</f>
        <v>1500</v>
      </c>
      <c r="W33" s="42">
        <v>20</v>
      </c>
      <c r="X33" s="42">
        <v>50000</v>
      </c>
      <c r="Y33" s="42">
        <v>20</v>
      </c>
      <c r="Z33" s="42">
        <v>500</v>
      </c>
    </row>
    <row r="34" spans="1:26" ht="15" x14ac:dyDescent="0.15">
      <c r="A34" s="27" t="s">
        <v>247</v>
      </c>
      <c r="B34" s="11" t="s">
        <v>136</v>
      </c>
      <c r="C34" s="12" t="s">
        <v>341</v>
      </c>
      <c r="D34" s="7"/>
      <c r="E34" s="7"/>
      <c r="F34" s="33">
        <v>500</v>
      </c>
      <c r="G34" s="33"/>
      <c r="H34" s="33"/>
      <c r="I34" s="33">
        <v>500</v>
      </c>
      <c r="J34" s="49">
        <v>0.1</v>
      </c>
      <c r="K34" s="46"/>
      <c r="L34" s="34"/>
      <c r="M34" s="39">
        <f>M33*0.5</f>
        <v>1562247658.7827199</v>
      </c>
      <c r="N34" s="39">
        <f t="shared" ref="N34:O34" si="24">N33*0.5</f>
        <v>56240.915716177915</v>
      </c>
      <c r="O34" s="39">
        <f t="shared" si="24"/>
        <v>3436944849.3219833</v>
      </c>
      <c r="P34" s="35">
        <v>10000</v>
      </c>
      <c r="Q34" s="39">
        <v>350</v>
      </c>
      <c r="R34" s="40">
        <v>0.6</v>
      </c>
      <c r="S34" s="39">
        <f t="shared" si="0"/>
        <v>343694.48493219836</v>
      </c>
      <c r="T34" s="35">
        <v>0</v>
      </c>
      <c r="U34" s="41">
        <v>200</v>
      </c>
      <c r="V34" s="39">
        <v>200</v>
      </c>
      <c r="W34" s="42">
        <v>20</v>
      </c>
      <c r="X34" s="42">
        <v>20000</v>
      </c>
      <c r="Y34" s="42">
        <v>20</v>
      </c>
      <c r="Z34" s="42">
        <v>500</v>
      </c>
    </row>
    <row r="35" spans="1:26" ht="15" x14ac:dyDescent="0.15">
      <c r="A35" s="27" t="s">
        <v>248</v>
      </c>
      <c r="B35" s="11" t="s">
        <v>137</v>
      </c>
      <c r="C35" s="12" t="s">
        <v>329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46" t="s">
        <v>439</v>
      </c>
      <c r="L35" s="34"/>
      <c r="M35" s="39">
        <v>50</v>
      </c>
      <c r="N35" s="39">
        <v>2.25</v>
      </c>
      <c r="O35" s="39">
        <v>2500</v>
      </c>
      <c r="P35" s="39">
        <f t="shared" ref="P35:V35" si="25">P4</f>
        <v>100</v>
      </c>
      <c r="Q35" s="39">
        <f t="shared" si="25"/>
        <v>350</v>
      </c>
      <c r="R35" s="40">
        <f t="shared" si="25"/>
        <v>1</v>
      </c>
      <c r="S35" s="39">
        <f t="shared" si="25"/>
        <v>11.000000000000002</v>
      </c>
      <c r="T35" s="35">
        <v>0</v>
      </c>
      <c r="U35" s="39">
        <f t="shared" si="25"/>
        <v>200</v>
      </c>
      <c r="V35" s="39">
        <f t="shared" si="25"/>
        <v>10</v>
      </c>
      <c r="W35" s="42">
        <v>20</v>
      </c>
      <c r="X35" s="42">
        <v>100</v>
      </c>
      <c r="Y35" s="42">
        <v>0</v>
      </c>
      <c r="Z35" s="42">
        <v>0</v>
      </c>
    </row>
    <row r="36" spans="1:26" ht="15" x14ac:dyDescent="0.15">
      <c r="A36" s="27" t="s">
        <v>249</v>
      </c>
      <c r="B36" s="11" t="s">
        <v>138</v>
      </c>
      <c r="C36" s="12" t="s">
        <v>329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46" t="s">
        <v>439</v>
      </c>
      <c r="L36" s="34"/>
      <c r="M36" s="39">
        <v>50000</v>
      </c>
      <c r="N36" s="39">
        <f>N35*5</f>
        <v>11.25</v>
      </c>
      <c r="O36" s="39">
        <v>200000</v>
      </c>
      <c r="P36" s="39">
        <f t="shared" ref="P36:V36" si="26">P6</f>
        <v>100</v>
      </c>
      <c r="Q36" s="39">
        <f t="shared" si="26"/>
        <v>360</v>
      </c>
      <c r="R36" s="40">
        <f t="shared" si="26"/>
        <v>1</v>
      </c>
      <c r="S36" s="39">
        <f t="shared" si="26"/>
        <v>200</v>
      </c>
      <c r="T36" s="35">
        <v>0</v>
      </c>
      <c r="U36" s="39">
        <f t="shared" si="26"/>
        <v>200</v>
      </c>
      <c r="V36" s="39">
        <f t="shared" si="26"/>
        <v>30</v>
      </c>
      <c r="W36" s="42">
        <v>20</v>
      </c>
      <c r="X36" s="42">
        <v>100</v>
      </c>
      <c r="Y36" s="42">
        <v>0</v>
      </c>
      <c r="Z36" s="42">
        <v>0</v>
      </c>
    </row>
    <row r="37" spans="1:26" ht="15" x14ac:dyDescent="0.15">
      <c r="A37" s="27" t="s">
        <v>250</v>
      </c>
      <c r="B37" s="11" t="s">
        <v>139</v>
      </c>
      <c r="C37" s="12" t="s">
        <v>329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46" t="s">
        <v>439</v>
      </c>
      <c r="L37" s="34"/>
      <c r="M37" s="39">
        <f>M5</f>
        <v>200000</v>
      </c>
      <c r="N37" s="39">
        <f>N36*2.5</f>
        <v>28.125</v>
      </c>
      <c r="O37" s="39">
        <f>O5</f>
        <v>1000000</v>
      </c>
      <c r="P37" s="39">
        <f t="shared" ref="P37:V37" si="27">P8</f>
        <v>1000</v>
      </c>
      <c r="Q37" s="39">
        <f t="shared" si="27"/>
        <v>370</v>
      </c>
      <c r="R37" s="40">
        <f t="shared" si="27"/>
        <v>1</v>
      </c>
      <c r="S37" s="39">
        <f t="shared" si="27"/>
        <v>800</v>
      </c>
      <c r="T37" s="35">
        <v>0</v>
      </c>
      <c r="U37" s="39">
        <f t="shared" si="27"/>
        <v>200</v>
      </c>
      <c r="V37" s="39">
        <f t="shared" si="27"/>
        <v>50</v>
      </c>
      <c r="W37" s="42">
        <v>20</v>
      </c>
      <c r="X37" s="42">
        <v>100</v>
      </c>
      <c r="Y37" s="42">
        <v>0</v>
      </c>
      <c r="Z37" s="42">
        <v>0</v>
      </c>
    </row>
    <row r="38" spans="1:26" ht="15" x14ac:dyDescent="0.15">
      <c r="A38" s="27" t="s">
        <v>251</v>
      </c>
      <c r="B38" s="11" t="s">
        <v>140</v>
      </c>
      <c r="C38" s="12" t="s">
        <v>329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46" t="s">
        <v>439</v>
      </c>
      <c r="L38" s="34"/>
      <c r="M38" s="39">
        <v>1000000</v>
      </c>
      <c r="N38" s="39">
        <f>N37*1.5</f>
        <v>42.1875</v>
      </c>
      <c r="O38" s="39">
        <v>4000000</v>
      </c>
      <c r="P38" s="39">
        <f t="shared" ref="P38:V38" si="28">P10</f>
        <v>10000</v>
      </c>
      <c r="Q38" s="39">
        <f t="shared" si="28"/>
        <v>380</v>
      </c>
      <c r="R38" s="40">
        <f t="shared" si="28"/>
        <v>1</v>
      </c>
      <c r="S38" s="39">
        <f t="shared" si="28"/>
        <v>2640</v>
      </c>
      <c r="T38" s="35">
        <v>0</v>
      </c>
      <c r="U38" s="39">
        <f t="shared" si="28"/>
        <v>200</v>
      </c>
      <c r="V38" s="39">
        <f t="shared" si="28"/>
        <v>70</v>
      </c>
      <c r="W38" s="42">
        <v>20</v>
      </c>
      <c r="X38" s="42">
        <v>100</v>
      </c>
      <c r="Y38" s="42">
        <v>0</v>
      </c>
      <c r="Z38" s="42">
        <v>0</v>
      </c>
    </row>
    <row r="39" spans="1:26" ht="15" x14ac:dyDescent="0.15">
      <c r="A39" s="27" t="s">
        <v>252</v>
      </c>
      <c r="B39" s="11" t="s">
        <v>141</v>
      </c>
      <c r="C39" s="12" t="s">
        <v>329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46" t="s">
        <v>439</v>
      </c>
      <c r="L39" s="34"/>
      <c r="M39" s="39">
        <v>5000000</v>
      </c>
      <c r="N39" s="39">
        <f>N38*3</f>
        <v>126.5625</v>
      </c>
      <c r="O39" s="39">
        <f>O38*2</f>
        <v>8000000</v>
      </c>
      <c r="P39" s="39">
        <f t="shared" ref="P39:V39" si="29">P12</f>
        <v>10000</v>
      </c>
      <c r="Q39" s="39">
        <f t="shared" si="29"/>
        <v>390</v>
      </c>
      <c r="R39" s="40">
        <f t="shared" si="29"/>
        <v>1</v>
      </c>
      <c r="S39" s="39">
        <f t="shared" si="29"/>
        <v>5940</v>
      </c>
      <c r="T39" s="35">
        <v>0</v>
      </c>
      <c r="U39" s="39">
        <f t="shared" si="29"/>
        <v>200</v>
      </c>
      <c r="V39" s="39">
        <f t="shared" si="29"/>
        <v>90</v>
      </c>
      <c r="W39" s="39">
        <v>20</v>
      </c>
      <c r="X39" s="39">
        <v>500</v>
      </c>
      <c r="Y39" s="42">
        <v>0</v>
      </c>
      <c r="Z39" s="42">
        <v>0</v>
      </c>
    </row>
    <row r="40" spans="1:26" ht="14.25" customHeight="1" x14ac:dyDescent="0.15">
      <c r="A40" s="27" t="s">
        <v>253</v>
      </c>
      <c r="B40" s="11" t="s">
        <v>142</v>
      </c>
      <c r="C40" s="12" t="s">
        <v>329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46" t="s">
        <v>439</v>
      </c>
      <c r="L40" s="34"/>
      <c r="M40" s="39">
        <f t="shared" ref="M40:O40" si="30">M43*2</f>
        <v>20000000</v>
      </c>
      <c r="N40" s="39">
        <f t="shared" si="30"/>
        <v>506.25</v>
      </c>
      <c r="O40" s="39">
        <f t="shared" si="30"/>
        <v>32000000</v>
      </c>
      <c r="P40" s="39">
        <f t="shared" ref="P40:V40" si="31">P14</f>
        <v>10000</v>
      </c>
      <c r="Q40" s="39">
        <f t="shared" si="31"/>
        <v>400</v>
      </c>
      <c r="R40" s="40">
        <f t="shared" si="31"/>
        <v>0.9</v>
      </c>
      <c r="S40" s="39">
        <f t="shared" si="31"/>
        <v>10810.800000000001</v>
      </c>
      <c r="T40" s="35">
        <v>0</v>
      </c>
      <c r="U40" s="39">
        <f t="shared" si="31"/>
        <v>200</v>
      </c>
      <c r="V40" s="39">
        <f t="shared" si="31"/>
        <v>150</v>
      </c>
      <c r="W40" s="39">
        <v>20</v>
      </c>
      <c r="X40" s="39">
        <v>1000</v>
      </c>
      <c r="Y40" s="42">
        <v>0</v>
      </c>
      <c r="Z40" s="42">
        <v>0</v>
      </c>
    </row>
    <row r="41" spans="1:26" ht="15" x14ac:dyDescent="0.15">
      <c r="A41" s="27" t="s">
        <v>254</v>
      </c>
      <c r="B41" s="11" t="s">
        <v>143</v>
      </c>
      <c r="C41" s="12" t="s">
        <v>329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46" t="s">
        <v>439</v>
      </c>
      <c r="L41" s="34"/>
      <c r="M41" s="39">
        <f>M44*2.05</f>
        <v>84050000</v>
      </c>
      <c r="N41" s="39">
        <f>N44*2.05</f>
        <v>2127.515625</v>
      </c>
      <c r="O41" s="39">
        <f>O44*2.05</f>
        <v>134479999.99999997</v>
      </c>
      <c r="P41" s="39">
        <f t="shared" ref="P41:V41" si="32">P16</f>
        <v>10000</v>
      </c>
      <c r="Q41" s="39">
        <f t="shared" si="32"/>
        <v>410</v>
      </c>
      <c r="R41" s="40">
        <f t="shared" si="32"/>
        <v>0.9</v>
      </c>
      <c r="S41" s="39">
        <f t="shared" si="32"/>
        <v>16864.848000000002</v>
      </c>
      <c r="T41" s="35">
        <v>0</v>
      </c>
      <c r="U41" s="39">
        <f t="shared" si="32"/>
        <v>200</v>
      </c>
      <c r="V41" s="39">
        <f t="shared" si="32"/>
        <v>150</v>
      </c>
      <c r="W41" s="39">
        <v>20</v>
      </c>
      <c r="X41" s="39">
        <v>1500</v>
      </c>
      <c r="Y41" s="42">
        <v>0</v>
      </c>
      <c r="Z41" s="42">
        <v>0</v>
      </c>
    </row>
    <row r="42" spans="1:26" ht="15" x14ac:dyDescent="0.15">
      <c r="A42" s="27" t="s">
        <v>255</v>
      </c>
      <c r="B42" s="11" t="s">
        <v>144</v>
      </c>
      <c r="C42" s="12" t="s">
        <v>329</v>
      </c>
      <c r="D42" s="7"/>
      <c r="E42" s="7"/>
      <c r="F42" s="42"/>
      <c r="G42" s="33">
        <v>35</v>
      </c>
      <c r="H42" s="33"/>
      <c r="I42" s="33">
        <v>500</v>
      </c>
      <c r="J42" s="49">
        <v>0.1</v>
      </c>
      <c r="K42" s="46" t="s">
        <v>439</v>
      </c>
      <c r="L42" s="34"/>
      <c r="M42" s="39">
        <f>M45*2.05</f>
        <v>353220124.99999988</v>
      </c>
      <c r="N42" s="39">
        <f t="shared" ref="N42:O42" si="33">N45*2.05</f>
        <v>8940.8844140624988</v>
      </c>
      <c r="O42" s="39">
        <f t="shared" si="33"/>
        <v>565152199.99999988</v>
      </c>
      <c r="P42" s="39">
        <f t="shared" ref="P42:V42" si="34">P18</f>
        <v>10000</v>
      </c>
      <c r="Q42" s="39">
        <f t="shared" si="34"/>
        <v>420</v>
      </c>
      <c r="R42" s="40">
        <f t="shared" si="34"/>
        <v>0.9</v>
      </c>
      <c r="S42" s="39">
        <f t="shared" si="34"/>
        <v>24285.381119999998</v>
      </c>
      <c r="T42" s="35">
        <v>0</v>
      </c>
      <c r="U42" s="39">
        <f t="shared" si="34"/>
        <v>200</v>
      </c>
      <c r="V42" s="39">
        <f t="shared" si="34"/>
        <v>150</v>
      </c>
      <c r="W42" s="39">
        <v>20</v>
      </c>
      <c r="X42" s="39">
        <v>2500</v>
      </c>
      <c r="Y42" s="42">
        <v>0</v>
      </c>
      <c r="Z42" s="42">
        <v>0</v>
      </c>
    </row>
    <row r="43" spans="1:26" ht="15" x14ac:dyDescent="0.15">
      <c r="A43" s="27" t="s">
        <v>376</v>
      </c>
      <c r="B43" s="11" t="s">
        <v>145</v>
      </c>
      <c r="C43" s="12" t="s">
        <v>329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46" t="s">
        <v>439</v>
      </c>
      <c r="L43" s="34"/>
      <c r="M43" s="39">
        <f t="shared" ref="M43:O43" si="35">M39*2</f>
        <v>10000000</v>
      </c>
      <c r="N43" s="39">
        <f>N39*2</f>
        <v>253.125</v>
      </c>
      <c r="O43" s="39">
        <f t="shared" si="35"/>
        <v>16000000</v>
      </c>
      <c r="P43" s="39">
        <f t="shared" ref="P43:U43" si="36">P8</f>
        <v>1000</v>
      </c>
      <c r="Q43" s="39">
        <f t="shared" si="36"/>
        <v>370</v>
      </c>
      <c r="R43" s="40">
        <f t="shared" si="36"/>
        <v>1</v>
      </c>
      <c r="S43" s="39">
        <f t="shared" si="36"/>
        <v>800</v>
      </c>
      <c r="T43" s="35">
        <v>0</v>
      </c>
      <c r="U43" s="39">
        <f t="shared" si="36"/>
        <v>200</v>
      </c>
      <c r="V43" s="39">
        <v>100</v>
      </c>
      <c r="W43" s="39">
        <v>20</v>
      </c>
      <c r="X43" s="39">
        <v>750</v>
      </c>
      <c r="Y43" s="39">
        <f>Y13</f>
        <v>0</v>
      </c>
      <c r="Z43" s="39">
        <v>0</v>
      </c>
    </row>
    <row r="44" spans="1:26" ht="15" x14ac:dyDescent="0.15">
      <c r="A44" s="27" t="s">
        <v>377</v>
      </c>
      <c r="B44" s="11" t="s">
        <v>146</v>
      </c>
      <c r="C44" s="12" t="s">
        <v>329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46" t="s">
        <v>439</v>
      </c>
      <c r="L44" s="34"/>
      <c r="M44" s="39">
        <f>M40*2.05</f>
        <v>41000000</v>
      </c>
      <c r="N44" s="39">
        <f t="shared" ref="N44:O44" si="37">N40*2.05</f>
        <v>1037.8125</v>
      </c>
      <c r="O44" s="39">
        <f t="shared" si="37"/>
        <v>65599999.999999993</v>
      </c>
      <c r="P44" s="39">
        <f t="shared" ref="P44:V44" si="38">P14</f>
        <v>10000</v>
      </c>
      <c r="Q44" s="39">
        <f t="shared" si="38"/>
        <v>400</v>
      </c>
      <c r="R44" s="40">
        <f t="shared" si="38"/>
        <v>0.9</v>
      </c>
      <c r="S44" s="39">
        <f t="shared" si="38"/>
        <v>10810.800000000001</v>
      </c>
      <c r="T44" s="35">
        <v>0</v>
      </c>
      <c r="U44" s="39">
        <f t="shared" si="38"/>
        <v>200</v>
      </c>
      <c r="V44" s="39">
        <f t="shared" si="38"/>
        <v>150</v>
      </c>
      <c r="W44" s="39">
        <v>20</v>
      </c>
      <c r="X44" s="39">
        <v>1250</v>
      </c>
      <c r="Y44" s="39">
        <v>0</v>
      </c>
      <c r="Z44" s="39">
        <v>0</v>
      </c>
    </row>
    <row r="45" spans="1:26" ht="14.25" customHeight="1" x14ac:dyDescent="0.15">
      <c r="A45" s="27" t="s">
        <v>378</v>
      </c>
      <c r="B45" s="11" t="s">
        <v>147</v>
      </c>
      <c r="C45" s="12" t="s">
        <v>329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46" t="s">
        <v>439</v>
      </c>
      <c r="L45" s="34"/>
      <c r="M45" s="39">
        <f>M41*2.05</f>
        <v>172302499.99999997</v>
      </c>
      <c r="N45" s="39">
        <f t="shared" ref="N45:O45" si="39">N41*2.05</f>
        <v>4361.4070312499998</v>
      </c>
      <c r="O45" s="39">
        <f t="shared" si="39"/>
        <v>275683999.99999994</v>
      </c>
      <c r="P45" s="39">
        <f t="shared" ref="P45:V45" si="40">P23</f>
        <v>10000</v>
      </c>
      <c r="Q45" s="39">
        <f t="shared" si="40"/>
        <v>445</v>
      </c>
      <c r="R45" s="40">
        <f t="shared" si="40"/>
        <v>0.9</v>
      </c>
      <c r="S45" s="39">
        <f t="shared" si="40"/>
        <v>76376.552207155182</v>
      </c>
      <c r="T45" s="35">
        <v>0</v>
      </c>
      <c r="U45" s="39">
        <f t="shared" si="40"/>
        <v>200</v>
      </c>
      <c r="V45" s="39">
        <f t="shared" si="40"/>
        <v>200</v>
      </c>
      <c r="W45" s="39">
        <v>20</v>
      </c>
      <c r="X45" s="39">
        <v>2000</v>
      </c>
      <c r="Y45" s="39">
        <v>0</v>
      </c>
      <c r="Z45" s="39">
        <v>0</v>
      </c>
    </row>
    <row r="46" spans="1:26" ht="15" x14ac:dyDescent="0.15">
      <c r="A46" s="27" t="s">
        <v>256</v>
      </c>
      <c r="B46" s="11" t="s">
        <v>148</v>
      </c>
      <c r="C46" s="12" t="s">
        <v>341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46"/>
      <c r="L46" s="34"/>
      <c r="M46" s="39">
        <v>1250000</v>
      </c>
      <c r="N46" s="39">
        <v>50</v>
      </c>
      <c r="O46" s="39">
        <v>7500000</v>
      </c>
      <c r="P46" s="39">
        <f t="shared" ref="P46:P70" si="41">P4*3</f>
        <v>300</v>
      </c>
      <c r="Q46" s="35">
        <f t="shared" ref="Q46:Q70" si="42">Q4</f>
        <v>350</v>
      </c>
      <c r="R46" s="36">
        <v>0.75</v>
      </c>
      <c r="S46" s="35">
        <f t="shared" ref="S46:V70" si="43">S4</f>
        <v>11.000000000000002</v>
      </c>
      <c r="T46" s="35">
        <v>0</v>
      </c>
      <c r="U46" s="35">
        <f t="shared" si="43"/>
        <v>200</v>
      </c>
      <c r="V46" s="35">
        <v>50</v>
      </c>
      <c r="W46" s="42">
        <v>20</v>
      </c>
      <c r="X46" s="42">
        <v>450</v>
      </c>
      <c r="Y46" s="42">
        <v>0</v>
      </c>
      <c r="Z46" s="42">
        <v>0</v>
      </c>
    </row>
    <row r="47" spans="1:26" ht="15" x14ac:dyDescent="0.15">
      <c r="A47" s="27" t="s">
        <v>257</v>
      </c>
      <c r="B47" s="11" t="s">
        <v>149</v>
      </c>
      <c r="C47" s="12" t="s">
        <v>341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46"/>
      <c r="L47" s="34"/>
      <c r="M47" s="39">
        <f>M46*1.25</f>
        <v>1562500</v>
      </c>
      <c r="N47" s="39">
        <f>N46*1.25</f>
        <v>62.5</v>
      </c>
      <c r="O47" s="39">
        <f t="shared" ref="O47" si="44">O46*1.25</f>
        <v>9375000</v>
      </c>
      <c r="P47" s="39">
        <f t="shared" si="41"/>
        <v>300</v>
      </c>
      <c r="Q47" s="35">
        <f t="shared" si="42"/>
        <v>355</v>
      </c>
      <c r="R47" s="36">
        <v>0.75</v>
      </c>
      <c r="S47" s="35">
        <f t="shared" si="43"/>
        <v>100</v>
      </c>
      <c r="T47" s="35">
        <v>0</v>
      </c>
      <c r="U47" s="35">
        <f t="shared" si="43"/>
        <v>200</v>
      </c>
      <c r="V47" s="35">
        <v>75</v>
      </c>
      <c r="W47" s="42">
        <v>20</v>
      </c>
      <c r="X47" s="42">
        <v>450</v>
      </c>
      <c r="Y47" s="42">
        <v>0</v>
      </c>
      <c r="Z47" s="42">
        <v>0</v>
      </c>
    </row>
    <row r="48" spans="1:26" ht="15" x14ac:dyDescent="0.15">
      <c r="A48" s="27" t="s">
        <v>258</v>
      </c>
      <c r="B48" s="11" t="s">
        <v>150</v>
      </c>
      <c r="C48" s="12" t="s">
        <v>341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46"/>
      <c r="L48" s="34"/>
      <c r="M48" s="39">
        <v>9000000</v>
      </c>
      <c r="N48" s="39">
        <v>120</v>
      </c>
      <c r="O48" s="39">
        <v>18310546.875</v>
      </c>
      <c r="P48" s="39">
        <f t="shared" si="41"/>
        <v>300</v>
      </c>
      <c r="Q48" s="35">
        <f t="shared" si="42"/>
        <v>360</v>
      </c>
      <c r="R48" s="36">
        <v>0.75</v>
      </c>
      <c r="S48" s="35">
        <f t="shared" si="43"/>
        <v>200</v>
      </c>
      <c r="T48" s="35">
        <v>0</v>
      </c>
      <c r="U48" s="35">
        <f t="shared" si="43"/>
        <v>200</v>
      </c>
      <c r="V48" s="35">
        <v>100</v>
      </c>
      <c r="W48" s="42">
        <v>20</v>
      </c>
      <c r="X48" s="42">
        <v>900</v>
      </c>
      <c r="Y48" s="42">
        <v>0</v>
      </c>
      <c r="Z48" s="42">
        <v>0</v>
      </c>
    </row>
    <row r="49" spans="1:26" ht="15" x14ac:dyDescent="0.15">
      <c r="A49" s="27" t="s">
        <v>259</v>
      </c>
      <c r="B49" s="11" t="s">
        <v>151</v>
      </c>
      <c r="C49" s="12" t="s">
        <v>341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46"/>
      <c r="L49" s="34"/>
      <c r="M49" s="39">
        <f>M48*1.25</f>
        <v>11250000</v>
      </c>
      <c r="N49" s="39">
        <f t="shared" ref="N49:O49" si="45">N48*1.25</f>
        <v>150</v>
      </c>
      <c r="O49" s="39">
        <f t="shared" si="45"/>
        <v>22888183.59375</v>
      </c>
      <c r="P49" s="39">
        <f t="shared" si="41"/>
        <v>3000</v>
      </c>
      <c r="Q49" s="35">
        <f t="shared" si="42"/>
        <v>365</v>
      </c>
      <c r="R49" s="36">
        <v>0.75</v>
      </c>
      <c r="S49" s="35">
        <f t="shared" si="43"/>
        <v>400</v>
      </c>
      <c r="T49" s="35">
        <v>0</v>
      </c>
      <c r="U49" s="35">
        <f t="shared" si="43"/>
        <v>200</v>
      </c>
      <c r="V49" s="35">
        <v>125</v>
      </c>
      <c r="W49" s="42">
        <v>20</v>
      </c>
      <c r="X49" s="42">
        <v>900</v>
      </c>
      <c r="Y49" s="42">
        <v>0</v>
      </c>
      <c r="Z49" s="42">
        <v>0</v>
      </c>
    </row>
    <row r="50" spans="1:26" ht="15" x14ac:dyDescent="0.15">
      <c r="A50" s="27" t="s">
        <v>260</v>
      </c>
      <c r="B50" s="11" t="s">
        <v>152</v>
      </c>
      <c r="C50" s="12" t="s">
        <v>341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46"/>
      <c r="L50" s="34"/>
      <c r="M50" s="39">
        <v>25000000</v>
      </c>
      <c r="N50" s="39">
        <v>250</v>
      </c>
      <c r="O50" s="39">
        <v>50000000</v>
      </c>
      <c r="P50" s="39">
        <f t="shared" si="41"/>
        <v>3000</v>
      </c>
      <c r="Q50" s="35">
        <f t="shared" si="42"/>
        <v>370</v>
      </c>
      <c r="R50" s="36">
        <v>0.75</v>
      </c>
      <c r="S50" s="35">
        <f t="shared" si="43"/>
        <v>800</v>
      </c>
      <c r="T50" s="35">
        <v>0</v>
      </c>
      <c r="U50" s="35">
        <f t="shared" si="43"/>
        <v>200</v>
      </c>
      <c r="V50" s="35">
        <v>150</v>
      </c>
      <c r="W50" s="42">
        <v>20</v>
      </c>
      <c r="X50" s="42">
        <v>1350</v>
      </c>
      <c r="Y50" s="42">
        <v>0</v>
      </c>
      <c r="Z50" s="42">
        <v>0</v>
      </c>
    </row>
    <row r="51" spans="1:26" ht="15" x14ac:dyDescent="0.15">
      <c r="A51" s="27" t="s">
        <v>261</v>
      </c>
      <c r="B51" s="11" t="s">
        <v>153</v>
      </c>
      <c r="C51" s="12" t="s">
        <v>341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46"/>
      <c r="L51" s="34"/>
      <c r="M51" s="39">
        <f>M50*1.25</f>
        <v>31250000</v>
      </c>
      <c r="N51" s="39">
        <f t="shared" ref="N51:O51" si="46">N50*1.25</f>
        <v>312.5</v>
      </c>
      <c r="O51" s="39">
        <f t="shared" si="46"/>
        <v>62500000</v>
      </c>
      <c r="P51" s="39">
        <f t="shared" si="41"/>
        <v>30000</v>
      </c>
      <c r="Q51" s="35">
        <f t="shared" si="42"/>
        <v>375</v>
      </c>
      <c r="R51" s="36">
        <v>0.75</v>
      </c>
      <c r="S51" s="35">
        <f t="shared" si="43"/>
        <v>1760</v>
      </c>
      <c r="T51" s="35">
        <v>0</v>
      </c>
      <c r="U51" s="35">
        <f t="shared" si="43"/>
        <v>200</v>
      </c>
      <c r="V51" s="35">
        <v>175</v>
      </c>
      <c r="W51" s="42">
        <v>20</v>
      </c>
      <c r="X51" s="42">
        <v>1350</v>
      </c>
      <c r="Y51" s="42">
        <v>0</v>
      </c>
      <c r="Z51" s="42">
        <v>0</v>
      </c>
    </row>
    <row r="52" spans="1:26" ht="15" x14ac:dyDescent="0.15">
      <c r="A52" s="27" t="s">
        <v>262</v>
      </c>
      <c r="B52" s="11" t="s">
        <v>154</v>
      </c>
      <c r="C52" s="12" t="s">
        <v>341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46"/>
      <c r="L52" s="34"/>
      <c r="M52" s="39">
        <f>M51*2</f>
        <v>62500000</v>
      </c>
      <c r="N52" s="39">
        <v>550</v>
      </c>
      <c r="O52" s="39">
        <f>O51*2</f>
        <v>125000000</v>
      </c>
      <c r="P52" s="39">
        <f t="shared" si="41"/>
        <v>30000</v>
      </c>
      <c r="Q52" s="35">
        <f t="shared" si="42"/>
        <v>380</v>
      </c>
      <c r="R52" s="36">
        <v>0.75</v>
      </c>
      <c r="S52" s="35">
        <f t="shared" si="43"/>
        <v>2640</v>
      </c>
      <c r="T52" s="35">
        <v>0</v>
      </c>
      <c r="U52" s="35">
        <f t="shared" si="43"/>
        <v>200</v>
      </c>
      <c r="V52" s="35">
        <v>200</v>
      </c>
      <c r="W52" s="42">
        <v>20</v>
      </c>
      <c r="X52" s="42">
        <v>1800</v>
      </c>
      <c r="Y52" s="42">
        <v>0</v>
      </c>
      <c r="Z52" s="42">
        <v>0</v>
      </c>
    </row>
    <row r="53" spans="1:26" ht="15" x14ac:dyDescent="0.15">
      <c r="A53" s="27" t="s">
        <v>263</v>
      </c>
      <c r="B53" s="11" t="s">
        <v>155</v>
      </c>
      <c r="C53" s="12" t="s">
        <v>341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46"/>
      <c r="L53" s="34"/>
      <c r="M53" s="39">
        <f>M52*1.25</f>
        <v>78125000</v>
      </c>
      <c r="N53" s="39">
        <f>N52*1.25</f>
        <v>687.5</v>
      </c>
      <c r="O53" s="39">
        <f>O52*1.25</f>
        <v>156250000</v>
      </c>
      <c r="P53" s="39">
        <f t="shared" si="41"/>
        <v>30000</v>
      </c>
      <c r="Q53" s="35">
        <f t="shared" si="42"/>
        <v>385</v>
      </c>
      <c r="R53" s="36">
        <v>0.75</v>
      </c>
      <c r="S53" s="35">
        <f t="shared" si="43"/>
        <v>3960</v>
      </c>
      <c r="T53" s="35">
        <v>0</v>
      </c>
      <c r="U53" s="35">
        <f t="shared" si="43"/>
        <v>200</v>
      </c>
      <c r="V53" s="35">
        <v>225</v>
      </c>
      <c r="W53" s="42">
        <v>20</v>
      </c>
      <c r="X53" s="42">
        <v>1800</v>
      </c>
      <c r="Y53" s="42">
        <v>0</v>
      </c>
      <c r="Z53" s="42">
        <v>0</v>
      </c>
    </row>
    <row r="54" spans="1:26" ht="15" x14ac:dyDescent="0.15">
      <c r="A54" s="27" t="s">
        <v>264</v>
      </c>
      <c r="B54" s="11" t="s">
        <v>156</v>
      </c>
      <c r="C54" s="12" t="s">
        <v>341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46"/>
      <c r="L54" s="34"/>
      <c r="M54" s="39">
        <f>M53*1.7</f>
        <v>132812500</v>
      </c>
      <c r="N54" s="39">
        <f t="shared" ref="N54:O54" si="47">N53*1.7</f>
        <v>1168.75</v>
      </c>
      <c r="O54" s="39">
        <f t="shared" si="47"/>
        <v>265625000</v>
      </c>
      <c r="P54" s="39">
        <f t="shared" si="41"/>
        <v>30000</v>
      </c>
      <c r="Q54" s="35">
        <f t="shared" si="42"/>
        <v>390</v>
      </c>
      <c r="R54" s="36">
        <v>0.75</v>
      </c>
      <c r="S54" s="35">
        <f t="shared" si="43"/>
        <v>5940</v>
      </c>
      <c r="T54" s="35">
        <v>0</v>
      </c>
      <c r="U54" s="35">
        <f t="shared" si="43"/>
        <v>200</v>
      </c>
      <c r="V54" s="35">
        <v>250</v>
      </c>
      <c r="W54" s="42">
        <v>20</v>
      </c>
      <c r="X54" s="42">
        <v>2250</v>
      </c>
      <c r="Y54" s="42">
        <v>0</v>
      </c>
      <c r="Z54" s="42">
        <v>0</v>
      </c>
    </row>
    <row r="55" spans="1:26" ht="15" x14ac:dyDescent="0.15">
      <c r="A55" s="27" t="s">
        <v>265</v>
      </c>
      <c r="B55" s="11" t="s">
        <v>157</v>
      </c>
      <c r="C55" s="12" t="s">
        <v>341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46"/>
      <c r="L55" s="34"/>
      <c r="M55" s="39">
        <f>M54*1.25</f>
        <v>166015625</v>
      </c>
      <c r="N55" s="39">
        <f t="shared" ref="N55:O55" si="48">N54*1.25</f>
        <v>1460.9375</v>
      </c>
      <c r="O55" s="39">
        <f t="shared" si="48"/>
        <v>332031250</v>
      </c>
      <c r="P55" s="39">
        <f t="shared" si="41"/>
        <v>30000</v>
      </c>
      <c r="Q55" s="35">
        <f t="shared" si="42"/>
        <v>395</v>
      </c>
      <c r="R55" s="36">
        <v>0.75</v>
      </c>
      <c r="S55" s="35">
        <f t="shared" si="43"/>
        <v>8316</v>
      </c>
      <c r="T55" s="35">
        <v>0</v>
      </c>
      <c r="U55" s="35">
        <f t="shared" si="43"/>
        <v>200</v>
      </c>
      <c r="V55" s="35">
        <v>275</v>
      </c>
      <c r="W55" s="42">
        <v>20</v>
      </c>
      <c r="X55" s="42">
        <v>2250</v>
      </c>
      <c r="Y55" s="42">
        <v>0</v>
      </c>
      <c r="Z55" s="42">
        <v>0</v>
      </c>
    </row>
    <row r="56" spans="1:26" ht="14.25" customHeight="1" x14ac:dyDescent="0.15">
      <c r="A56" s="27" t="s">
        <v>266</v>
      </c>
      <c r="B56" s="11" t="s">
        <v>158</v>
      </c>
      <c r="C56" s="12" t="s">
        <v>341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46"/>
      <c r="L56" s="34"/>
      <c r="M56" s="39">
        <f>M55*1.6</f>
        <v>265625000</v>
      </c>
      <c r="N56" s="39">
        <f t="shared" ref="N56:O56" si="49">N55*1.6</f>
        <v>2337.5</v>
      </c>
      <c r="O56" s="39">
        <f t="shared" si="49"/>
        <v>531250000</v>
      </c>
      <c r="P56" s="39">
        <f t="shared" si="41"/>
        <v>30000</v>
      </c>
      <c r="Q56" s="35">
        <f t="shared" si="42"/>
        <v>400</v>
      </c>
      <c r="R56" s="36">
        <v>0.75</v>
      </c>
      <c r="S56" s="35">
        <f t="shared" si="43"/>
        <v>10810.800000000001</v>
      </c>
      <c r="T56" s="35">
        <v>0</v>
      </c>
      <c r="U56" s="35">
        <f t="shared" si="43"/>
        <v>200</v>
      </c>
      <c r="V56" s="35">
        <v>300</v>
      </c>
      <c r="W56" s="42">
        <v>20</v>
      </c>
      <c r="X56" s="42">
        <v>2700</v>
      </c>
      <c r="Y56" s="42">
        <v>0</v>
      </c>
      <c r="Z56" s="42">
        <v>0</v>
      </c>
    </row>
    <row r="57" spans="1:26" ht="15" x14ac:dyDescent="0.15">
      <c r="A57" s="27" t="s">
        <v>267</v>
      </c>
      <c r="B57" s="11" t="s">
        <v>159</v>
      </c>
      <c r="C57" s="12" t="s">
        <v>341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46"/>
      <c r="L57" s="34"/>
      <c r="M57" s="39">
        <f>M56*1.1</f>
        <v>292187500</v>
      </c>
      <c r="N57" s="39">
        <f t="shared" ref="N57:O57" si="50">N56*1.1</f>
        <v>2571.25</v>
      </c>
      <c r="O57" s="39">
        <f t="shared" si="50"/>
        <v>584375000</v>
      </c>
      <c r="P57" s="39">
        <f t="shared" si="41"/>
        <v>30000</v>
      </c>
      <c r="Q57" s="35">
        <f t="shared" si="42"/>
        <v>405</v>
      </c>
      <c r="R57" s="36">
        <v>0.75</v>
      </c>
      <c r="S57" s="35">
        <f t="shared" si="43"/>
        <v>14054.04</v>
      </c>
      <c r="T57" s="35">
        <v>0</v>
      </c>
      <c r="U57" s="35">
        <f t="shared" si="43"/>
        <v>200</v>
      </c>
      <c r="V57" s="35">
        <v>325</v>
      </c>
      <c r="W57" s="42">
        <v>20</v>
      </c>
      <c r="X57" s="42">
        <v>2700</v>
      </c>
      <c r="Y57" s="42">
        <v>0</v>
      </c>
      <c r="Z57" s="42">
        <v>0</v>
      </c>
    </row>
    <row r="58" spans="1:26" ht="15" x14ac:dyDescent="0.15">
      <c r="A58" s="27" t="s">
        <v>268</v>
      </c>
      <c r="B58" s="11" t="s">
        <v>160</v>
      </c>
      <c r="C58" s="12" t="s">
        <v>341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46"/>
      <c r="L58" s="34"/>
      <c r="M58" s="39">
        <f>M57*1.6</f>
        <v>467500000</v>
      </c>
      <c r="N58" s="39">
        <f t="shared" ref="N58:O58" si="51">N57*1.6</f>
        <v>4114</v>
      </c>
      <c r="O58" s="39">
        <f t="shared" si="51"/>
        <v>935000000</v>
      </c>
      <c r="P58" s="39">
        <f t="shared" si="41"/>
        <v>30000</v>
      </c>
      <c r="Q58" s="35">
        <f t="shared" si="42"/>
        <v>410</v>
      </c>
      <c r="R58" s="36">
        <v>0.75</v>
      </c>
      <c r="S58" s="35">
        <f t="shared" si="43"/>
        <v>16864.848000000002</v>
      </c>
      <c r="T58" s="35">
        <v>0</v>
      </c>
      <c r="U58" s="35">
        <f t="shared" si="43"/>
        <v>200</v>
      </c>
      <c r="V58" s="35">
        <v>350</v>
      </c>
      <c r="W58" s="42">
        <v>20</v>
      </c>
      <c r="X58" s="42">
        <v>3150</v>
      </c>
      <c r="Y58" s="42">
        <v>0</v>
      </c>
      <c r="Z58" s="42">
        <v>0</v>
      </c>
    </row>
    <row r="59" spans="1:26" ht="15" x14ac:dyDescent="0.15">
      <c r="A59" s="27" t="s">
        <v>269</v>
      </c>
      <c r="B59" s="11" t="s">
        <v>161</v>
      </c>
      <c r="C59" s="12" t="s">
        <v>341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46"/>
      <c r="L59" s="34"/>
      <c r="M59" s="39">
        <f>M58*1.1</f>
        <v>514250000.00000006</v>
      </c>
      <c r="N59" s="39">
        <f t="shared" ref="N59:O59" si="52">N58*1.1</f>
        <v>4525.4000000000005</v>
      </c>
      <c r="O59" s="39">
        <f t="shared" si="52"/>
        <v>1028500000.0000001</v>
      </c>
      <c r="P59" s="39">
        <f t="shared" si="41"/>
        <v>30000</v>
      </c>
      <c r="Q59" s="35">
        <f t="shared" si="42"/>
        <v>415</v>
      </c>
      <c r="R59" s="36">
        <v>0.75</v>
      </c>
      <c r="S59" s="35">
        <f t="shared" si="43"/>
        <v>20237.817600000002</v>
      </c>
      <c r="T59" s="35">
        <v>0</v>
      </c>
      <c r="U59" s="35">
        <f t="shared" si="43"/>
        <v>200</v>
      </c>
      <c r="V59" s="35">
        <v>375</v>
      </c>
      <c r="W59" s="42">
        <v>20</v>
      </c>
      <c r="X59" s="42">
        <v>3150</v>
      </c>
      <c r="Y59" s="42">
        <v>0</v>
      </c>
      <c r="Z59" s="42">
        <v>0</v>
      </c>
    </row>
    <row r="60" spans="1:26" ht="15" x14ac:dyDescent="0.15">
      <c r="A60" s="27" t="s">
        <v>270</v>
      </c>
      <c r="B60" s="11" t="s">
        <v>162</v>
      </c>
      <c r="C60" s="12" t="s">
        <v>341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46"/>
      <c r="L60" s="34"/>
      <c r="M60" s="39">
        <f>M59*1.5</f>
        <v>771375000.00000012</v>
      </c>
      <c r="N60" s="39">
        <f t="shared" ref="N60:O60" si="53">N59*1.5</f>
        <v>6788.1</v>
      </c>
      <c r="O60" s="39">
        <f t="shared" si="53"/>
        <v>1542750000.0000002</v>
      </c>
      <c r="P60" s="39">
        <f t="shared" si="41"/>
        <v>30000</v>
      </c>
      <c r="Q60" s="35">
        <f t="shared" si="42"/>
        <v>420</v>
      </c>
      <c r="R60" s="36">
        <v>0.75</v>
      </c>
      <c r="S60" s="35">
        <f t="shared" si="43"/>
        <v>24285.381119999998</v>
      </c>
      <c r="T60" s="35">
        <v>0</v>
      </c>
      <c r="U60" s="35">
        <f t="shared" si="43"/>
        <v>200</v>
      </c>
      <c r="V60" s="35">
        <v>400</v>
      </c>
      <c r="W60" s="42">
        <v>20</v>
      </c>
      <c r="X60" s="42">
        <v>3600</v>
      </c>
      <c r="Y60" s="42">
        <v>0</v>
      </c>
      <c r="Z60" s="42">
        <v>0</v>
      </c>
    </row>
    <row r="61" spans="1:26" ht="15" x14ac:dyDescent="0.15">
      <c r="A61" s="27" t="s">
        <v>271</v>
      </c>
      <c r="B61" s="11" t="s">
        <v>163</v>
      </c>
      <c r="C61" s="12" t="s">
        <v>341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46"/>
      <c r="L61" s="34"/>
      <c r="M61" s="39">
        <f>M60*1.1</f>
        <v>848512500.00000024</v>
      </c>
      <c r="N61" s="39">
        <f t="shared" ref="N61:O61" si="54">N60*1.1</f>
        <v>7466.9100000000008</v>
      </c>
      <c r="O61" s="39">
        <f t="shared" si="54"/>
        <v>1697025000.0000005</v>
      </c>
      <c r="P61" s="39">
        <f t="shared" si="41"/>
        <v>30000</v>
      </c>
      <c r="Q61" s="35">
        <f t="shared" si="42"/>
        <v>425</v>
      </c>
      <c r="R61" s="36">
        <v>0.75</v>
      </c>
      <c r="S61" s="35">
        <f t="shared" si="43"/>
        <v>33999.533567999999</v>
      </c>
      <c r="T61" s="35">
        <v>0</v>
      </c>
      <c r="U61" s="35">
        <f t="shared" si="43"/>
        <v>200</v>
      </c>
      <c r="V61" s="35">
        <v>425</v>
      </c>
      <c r="W61" s="42">
        <v>20</v>
      </c>
      <c r="X61" s="42">
        <v>3600</v>
      </c>
      <c r="Y61" s="42">
        <v>0</v>
      </c>
      <c r="Z61" s="42">
        <v>0</v>
      </c>
    </row>
    <row r="62" spans="1:26" ht="15" x14ac:dyDescent="0.15">
      <c r="A62" s="27" t="s">
        <v>272</v>
      </c>
      <c r="B62" s="11" t="s">
        <v>164</v>
      </c>
      <c r="C62" s="12" t="s">
        <v>341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46"/>
      <c r="L62" s="34"/>
      <c r="M62" s="39">
        <f>M61*1.5</f>
        <v>1272768750.0000005</v>
      </c>
      <c r="N62" s="39">
        <f t="shared" ref="N62:O62" si="55">N61*1.5</f>
        <v>11200.365000000002</v>
      </c>
      <c r="O62" s="39">
        <f t="shared" si="55"/>
        <v>2545537500.000001</v>
      </c>
      <c r="P62" s="39">
        <f t="shared" si="41"/>
        <v>30000</v>
      </c>
      <c r="Q62" s="35">
        <f t="shared" si="42"/>
        <v>430</v>
      </c>
      <c r="R62" s="36">
        <v>0.75</v>
      </c>
      <c r="S62" s="35">
        <f t="shared" si="43"/>
        <v>44199.393638399997</v>
      </c>
      <c r="T62" s="35">
        <v>0</v>
      </c>
      <c r="U62" s="35">
        <f t="shared" si="43"/>
        <v>200</v>
      </c>
      <c r="V62" s="35">
        <v>450</v>
      </c>
      <c r="W62" s="42">
        <v>20</v>
      </c>
      <c r="X62" s="42">
        <v>4050</v>
      </c>
      <c r="Y62" s="42">
        <v>10</v>
      </c>
      <c r="Z62" s="42">
        <v>250</v>
      </c>
    </row>
    <row r="63" spans="1:26" ht="15" x14ac:dyDescent="0.15">
      <c r="A63" s="27" t="s">
        <v>273</v>
      </c>
      <c r="B63" s="11" t="s">
        <v>165</v>
      </c>
      <c r="C63" s="12" t="s">
        <v>341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46"/>
      <c r="L63" s="34"/>
      <c r="M63" s="39">
        <f>M62*1.1</f>
        <v>1400045625.0000007</v>
      </c>
      <c r="N63" s="39">
        <f t="shared" ref="N63:O63" si="56">N62*1.1</f>
        <v>12320.401500000004</v>
      </c>
      <c r="O63" s="39">
        <f t="shared" si="56"/>
        <v>2800091250.0000014</v>
      </c>
      <c r="P63" s="39">
        <f t="shared" si="41"/>
        <v>30000</v>
      </c>
      <c r="Q63" s="35">
        <f t="shared" si="42"/>
        <v>435</v>
      </c>
      <c r="R63" s="36">
        <v>0.75</v>
      </c>
      <c r="S63" s="35">
        <f t="shared" si="43"/>
        <v>53039.272366079997</v>
      </c>
      <c r="T63" s="35">
        <v>0</v>
      </c>
      <c r="U63" s="35">
        <f t="shared" si="43"/>
        <v>200</v>
      </c>
      <c r="V63" s="35">
        <v>475</v>
      </c>
      <c r="W63" s="42">
        <v>20</v>
      </c>
      <c r="X63" s="42">
        <v>4050</v>
      </c>
      <c r="Y63" s="42">
        <v>10</v>
      </c>
      <c r="Z63" s="42">
        <v>250</v>
      </c>
    </row>
    <row r="64" spans="1:26" ht="15" x14ac:dyDescent="0.15">
      <c r="A64" s="27" t="s">
        <v>274</v>
      </c>
      <c r="B64" s="11" t="s">
        <v>166</v>
      </c>
      <c r="C64" s="12" t="s">
        <v>341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46"/>
      <c r="L64" s="34"/>
      <c r="M64" s="39">
        <f>M63*1.5</f>
        <v>2100068437.500001</v>
      </c>
      <c r="N64" s="39">
        <f t="shared" ref="N64:O64" si="57">N63*1.5</f>
        <v>18480.602250000004</v>
      </c>
      <c r="O64" s="39">
        <f t="shared" si="57"/>
        <v>4200136875.0000019</v>
      </c>
      <c r="P64" s="39">
        <f t="shared" si="41"/>
        <v>30000</v>
      </c>
      <c r="Q64" s="35">
        <f t="shared" si="42"/>
        <v>440</v>
      </c>
      <c r="R64" s="36">
        <v>0.75</v>
      </c>
      <c r="S64" s="35">
        <f t="shared" si="43"/>
        <v>63647.126839295983</v>
      </c>
      <c r="T64" s="35">
        <v>0</v>
      </c>
      <c r="U64" s="35">
        <f t="shared" si="43"/>
        <v>200</v>
      </c>
      <c r="V64" s="35">
        <v>500</v>
      </c>
      <c r="W64" s="42">
        <v>20</v>
      </c>
      <c r="X64" s="42">
        <v>4500</v>
      </c>
      <c r="Y64" s="42">
        <v>20</v>
      </c>
      <c r="Z64" s="42">
        <v>500</v>
      </c>
    </row>
    <row r="65" spans="1:26" ht="15" x14ac:dyDescent="0.15">
      <c r="A65" s="27" t="s">
        <v>275</v>
      </c>
      <c r="B65" s="11" t="s">
        <v>167</v>
      </c>
      <c r="C65" s="12" t="s">
        <v>341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46"/>
      <c r="L65" s="34"/>
      <c r="M65" s="39">
        <f>M64*1.1</f>
        <v>2310075281.2500014</v>
      </c>
      <c r="N65" s="39">
        <f>N64*1.1</f>
        <v>20328.662475000005</v>
      </c>
      <c r="O65" s="39">
        <f t="shared" ref="O65" si="58">O64*1.1</f>
        <v>4620150562.5000029</v>
      </c>
      <c r="P65" s="39">
        <f t="shared" si="41"/>
        <v>30000</v>
      </c>
      <c r="Q65" s="35">
        <f t="shared" si="42"/>
        <v>445</v>
      </c>
      <c r="R65" s="36">
        <v>0.75</v>
      </c>
      <c r="S65" s="35">
        <f t="shared" si="43"/>
        <v>76376.552207155182</v>
      </c>
      <c r="T65" s="35">
        <v>0</v>
      </c>
      <c r="U65" s="35">
        <f t="shared" si="43"/>
        <v>200</v>
      </c>
      <c r="V65" s="35">
        <v>525</v>
      </c>
      <c r="W65" s="42">
        <v>20</v>
      </c>
      <c r="X65" s="42">
        <v>4500</v>
      </c>
      <c r="Y65" s="42">
        <v>20</v>
      </c>
      <c r="Z65" s="42">
        <v>500</v>
      </c>
    </row>
    <row r="66" spans="1:26" ht="15" x14ac:dyDescent="0.15">
      <c r="A66" s="27" t="s">
        <v>276</v>
      </c>
      <c r="B66" s="11" t="s">
        <v>168</v>
      </c>
      <c r="C66" s="12" t="s">
        <v>341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46"/>
      <c r="L66" s="34"/>
      <c r="M66" s="39">
        <f>M24*3</f>
        <v>1458097814.8638716</v>
      </c>
      <c r="N66" s="39">
        <v>29417.697965994637</v>
      </c>
      <c r="O66" s="39">
        <f>O24*3</f>
        <v>3207815192.7005177</v>
      </c>
      <c r="P66" s="39">
        <f t="shared" si="41"/>
        <v>30000</v>
      </c>
      <c r="Q66" s="35">
        <f t="shared" si="42"/>
        <v>450</v>
      </c>
      <c r="R66" s="36">
        <v>0.75</v>
      </c>
      <c r="S66" s="35">
        <f t="shared" si="43"/>
        <v>106927.17309001726</v>
      </c>
      <c r="T66" s="35">
        <v>0</v>
      </c>
      <c r="U66" s="35">
        <f t="shared" si="43"/>
        <v>200</v>
      </c>
      <c r="V66" s="35">
        <v>500</v>
      </c>
      <c r="W66" s="42">
        <v>20</v>
      </c>
      <c r="X66" s="42">
        <v>900</v>
      </c>
      <c r="Y66" s="42">
        <v>0</v>
      </c>
      <c r="Z66" s="42">
        <v>0</v>
      </c>
    </row>
    <row r="67" spans="1:26" ht="15" x14ac:dyDescent="0.15">
      <c r="A67" s="27" t="s">
        <v>276</v>
      </c>
      <c r="B67" s="11" t="s">
        <v>169</v>
      </c>
      <c r="C67" s="12" t="s">
        <v>341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46"/>
      <c r="L67" s="34"/>
      <c r="M67" s="39">
        <f>M25*3</f>
        <v>1895527159.3230333</v>
      </c>
      <c r="N67" s="39">
        <v>21572.978508396071</v>
      </c>
      <c r="O67" s="39">
        <f>O25*3</f>
        <v>4170159750.5106726</v>
      </c>
      <c r="P67" s="39">
        <f t="shared" si="41"/>
        <v>30000</v>
      </c>
      <c r="Q67" s="35">
        <f t="shared" si="42"/>
        <v>455</v>
      </c>
      <c r="R67" s="36">
        <v>0.75</v>
      </c>
      <c r="S67" s="35">
        <f t="shared" si="43"/>
        <v>139005.32501702243</v>
      </c>
      <c r="T67" s="35">
        <v>0</v>
      </c>
      <c r="U67" s="35">
        <f t="shared" si="43"/>
        <v>200</v>
      </c>
      <c r="V67" s="35">
        <f t="shared" si="43"/>
        <v>300</v>
      </c>
      <c r="W67" s="42">
        <v>20</v>
      </c>
      <c r="X67" s="42">
        <v>900</v>
      </c>
      <c r="Y67" s="42">
        <v>20</v>
      </c>
      <c r="Z67" s="42">
        <v>500</v>
      </c>
    </row>
    <row r="68" spans="1:26" ht="15" x14ac:dyDescent="0.15">
      <c r="A68" s="27" t="s">
        <v>276</v>
      </c>
      <c r="B68" s="11" t="s">
        <v>170</v>
      </c>
      <c r="C68" s="12" t="s">
        <v>341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46"/>
      <c r="L68" s="34"/>
      <c r="M68" s="39">
        <f>M26*3</f>
        <v>2464185307.1199431</v>
      </c>
      <c r="N68" s="39">
        <v>23730.276359235682</v>
      </c>
      <c r="O68" s="39">
        <f>O26*3</f>
        <v>5421207675.6638746</v>
      </c>
      <c r="P68" s="39">
        <f t="shared" si="41"/>
        <v>30000</v>
      </c>
      <c r="Q68" s="35">
        <f t="shared" si="42"/>
        <v>460</v>
      </c>
      <c r="R68" s="36">
        <v>0.75</v>
      </c>
      <c r="S68" s="35">
        <f t="shared" si="43"/>
        <v>180706.92252212917</v>
      </c>
      <c r="T68" s="35">
        <v>0</v>
      </c>
      <c r="U68" s="35">
        <f t="shared" si="43"/>
        <v>200</v>
      </c>
      <c r="V68" s="35">
        <f t="shared" si="43"/>
        <v>300</v>
      </c>
      <c r="W68" s="42">
        <v>20</v>
      </c>
      <c r="X68" s="42">
        <v>900</v>
      </c>
      <c r="Y68" s="42">
        <v>20</v>
      </c>
      <c r="Z68" s="42">
        <v>500</v>
      </c>
    </row>
    <row r="69" spans="1:26" ht="15" x14ac:dyDescent="0.15">
      <c r="A69" s="27" t="s">
        <v>276</v>
      </c>
      <c r="B69" s="11" t="s">
        <v>171</v>
      </c>
      <c r="C69" s="12" t="s">
        <v>341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46"/>
      <c r="L69" s="34"/>
      <c r="M69" s="39">
        <f>M27*3</f>
        <v>3203440899.2559261</v>
      </c>
      <c r="N69" s="39">
        <v>26103.303995159251</v>
      </c>
      <c r="O69" s="39">
        <f>O27*3</f>
        <v>7047569978.3630371</v>
      </c>
      <c r="P69" s="39">
        <f t="shared" si="41"/>
        <v>30000</v>
      </c>
      <c r="Q69" s="35">
        <f t="shared" si="42"/>
        <v>465</v>
      </c>
      <c r="R69" s="36">
        <v>0.75</v>
      </c>
      <c r="S69" s="35">
        <f t="shared" si="43"/>
        <v>234918.99927876794</v>
      </c>
      <c r="T69" s="35">
        <v>0</v>
      </c>
      <c r="U69" s="35">
        <f t="shared" si="43"/>
        <v>200</v>
      </c>
      <c r="V69" s="35">
        <f t="shared" si="43"/>
        <v>300</v>
      </c>
      <c r="W69" s="42">
        <v>20</v>
      </c>
      <c r="X69" s="42">
        <v>900</v>
      </c>
      <c r="Y69" s="42">
        <v>20</v>
      </c>
      <c r="Z69" s="42">
        <v>500</v>
      </c>
    </row>
    <row r="70" spans="1:26" ht="15" x14ac:dyDescent="0.15">
      <c r="A70" s="27" t="s">
        <v>276</v>
      </c>
      <c r="B70" s="11" t="s">
        <v>172</v>
      </c>
      <c r="C70" s="12" t="s">
        <v>341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46"/>
      <c r="L70" s="34"/>
      <c r="M70" s="39">
        <f>M28*3</f>
        <v>3844129079.107111</v>
      </c>
      <c r="N70" s="39">
        <v>28713.634394675177</v>
      </c>
      <c r="O70" s="39">
        <f>O28*3</f>
        <v>8457083974.0356445</v>
      </c>
      <c r="P70" s="39">
        <f t="shared" si="41"/>
        <v>30000</v>
      </c>
      <c r="Q70" s="35">
        <f t="shared" si="42"/>
        <v>470</v>
      </c>
      <c r="R70" s="36">
        <v>0.75</v>
      </c>
      <c r="S70" s="35">
        <f t="shared" si="43"/>
        <v>281902.79913452151</v>
      </c>
      <c r="T70" s="35">
        <v>0</v>
      </c>
      <c r="U70" s="35">
        <f t="shared" si="43"/>
        <v>200</v>
      </c>
      <c r="V70" s="35">
        <f t="shared" si="43"/>
        <v>300</v>
      </c>
      <c r="W70" s="42">
        <v>20</v>
      </c>
      <c r="X70" s="42">
        <v>900</v>
      </c>
      <c r="Y70" s="42">
        <v>20</v>
      </c>
      <c r="Z70" s="42">
        <v>500</v>
      </c>
    </row>
    <row r="71" spans="1:26" ht="15" x14ac:dyDescent="0.15">
      <c r="A71" s="27" t="s">
        <v>342</v>
      </c>
      <c r="B71" s="11" t="s">
        <v>173</v>
      </c>
      <c r="C71" s="12" t="s">
        <v>341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46"/>
      <c r="L71" s="34"/>
      <c r="M71" s="39">
        <f>17578125*0.9</f>
        <v>15820312.5</v>
      </c>
      <c r="N71" s="39">
        <v>386.23809814453125</v>
      </c>
      <c r="O71" s="39">
        <f>35762786.8652344*2</f>
        <v>71525573.730468795</v>
      </c>
      <c r="P71" s="39">
        <f>P48</f>
        <v>300</v>
      </c>
      <c r="Q71" s="39">
        <f>Q48</f>
        <v>360</v>
      </c>
      <c r="R71" s="36">
        <v>0.75</v>
      </c>
      <c r="S71" s="39">
        <f>S48</f>
        <v>200</v>
      </c>
      <c r="T71" s="35">
        <v>0</v>
      </c>
      <c r="U71" s="39">
        <f>U48</f>
        <v>200</v>
      </c>
      <c r="V71" s="39">
        <f>V48</f>
        <v>100</v>
      </c>
      <c r="W71" s="42">
        <v>20</v>
      </c>
      <c r="X71" s="42">
        <v>900</v>
      </c>
      <c r="Y71" s="42">
        <v>0</v>
      </c>
      <c r="Z71" s="42">
        <v>0</v>
      </c>
    </row>
    <row r="72" spans="1:26" ht="15" x14ac:dyDescent="0.15">
      <c r="A72" s="27" t="s">
        <v>278</v>
      </c>
      <c r="B72" s="11" t="s">
        <v>174</v>
      </c>
      <c r="C72" s="12" t="s">
        <v>341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46"/>
      <c r="L72" s="34"/>
      <c r="M72" s="39">
        <f t="shared" ref="M72" si="59">M54*0.9</f>
        <v>119531250</v>
      </c>
      <c r="N72" s="39">
        <f>N54*0.9</f>
        <v>1051.875</v>
      </c>
      <c r="O72" s="39">
        <f>O54*0.9*2</f>
        <v>478125000</v>
      </c>
      <c r="P72" s="39">
        <f>P51</f>
        <v>30000</v>
      </c>
      <c r="Q72" s="39">
        <f>Q51</f>
        <v>375</v>
      </c>
      <c r="R72" s="36">
        <v>0.75</v>
      </c>
      <c r="S72" s="39">
        <f>S51</f>
        <v>1760</v>
      </c>
      <c r="T72" s="35">
        <v>0</v>
      </c>
      <c r="U72" s="39">
        <f>U51</f>
        <v>200</v>
      </c>
      <c r="V72" s="39">
        <v>200</v>
      </c>
      <c r="W72" s="42">
        <v>20</v>
      </c>
      <c r="X72" s="42">
        <v>2304</v>
      </c>
      <c r="Y72" s="42">
        <v>0</v>
      </c>
      <c r="Z72" s="42">
        <v>0</v>
      </c>
    </row>
    <row r="73" spans="1:26" ht="15" x14ac:dyDescent="0.15">
      <c r="A73" s="27" t="s">
        <v>279</v>
      </c>
      <c r="B73" s="11" t="s">
        <v>175</v>
      </c>
      <c r="C73" s="12" t="s">
        <v>341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46"/>
      <c r="L73" s="34"/>
      <c r="M73" s="39">
        <f t="shared" ref="M73" si="60">M61*0.9</f>
        <v>763661250.00000024</v>
      </c>
      <c r="N73" s="39">
        <f>N61*0.9</f>
        <v>6720.219000000001</v>
      </c>
      <c r="O73" s="39">
        <f>O61*0.9*2</f>
        <v>3054645000.000001</v>
      </c>
      <c r="P73" s="39">
        <f>P55</f>
        <v>30000</v>
      </c>
      <c r="Q73" s="39">
        <f>Q55</f>
        <v>395</v>
      </c>
      <c r="R73" s="36">
        <v>0.75</v>
      </c>
      <c r="S73" s="39">
        <f>S55</f>
        <v>8316</v>
      </c>
      <c r="T73" s="35">
        <v>0</v>
      </c>
      <c r="U73" s="39">
        <f>U55</f>
        <v>200</v>
      </c>
      <c r="V73" s="39">
        <v>300</v>
      </c>
      <c r="W73" s="42">
        <v>20</v>
      </c>
      <c r="X73" s="42">
        <v>3600</v>
      </c>
      <c r="Y73" s="42">
        <v>0</v>
      </c>
      <c r="Z73" s="42">
        <v>0</v>
      </c>
    </row>
    <row r="74" spans="1:26" ht="15" x14ac:dyDescent="0.15">
      <c r="A74" s="27" t="s">
        <v>280</v>
      </c>
      <c r="B74" s="11" t="s">
        <v>176</v>
      </c>
      <c r="C74" s="12" t="s">
        <v>341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46"/>
      <c r="L74" s="34"/>
      <c r="M74" s="39">
        <f t="shared" ref="M74" si="61">M65*0.9</f>
        <v>2079067753.1250014</v>
      </c>
      <c r="N74" s="39">
        <f>N65*0.9</f>
        <v>18295.796227500006</v>
      </c>
      <c r="O74" s="39">
        <f>O65*0.9*2</f>
        <v>8316271012.5000057</v>
      </c>
      <c r="P74" s="39">
        <f>P60*1</f>
        <v>30000</v>
      </c>
      <c r="Q74" s="39">
        <f>Q60*1</f>
        <v>420</v>
      </c>
      <c r="R74" s="36">
        <v>0.75</v>
      </c>
      <c r="S74" s="39">
        <f>S60*1</f>
        <v>24285.381119999998</v>
      </c>
      <c r="T74" s="35">
        <v>0</v>
      </c>
      <c r="U74" s="39">
        <f>U60*1</f>
        <v>200</v>
      </c>
      <c r="V74" s="39">
        <v>500</v>
      </c>
      <c r="W74" s="42">
        <v>20</v>
      </c>
      <c r="X74" s="42">
        <v>4500</v>
      </c>
      <c r="Y74" s="42">
        <v>20</v>
      </c>
      <c r="Z74" s="42">
        <v>500</v>
      </c>
    </row>
    <row r="75" spans="1:26" ht="15" x14ac:dyDescent="0.15">
      <c r="A75" s="27" t="s">
        <v>281</v>
      </c>
      <c r="B75" s="11" t="s">
        <v>177</v>
      </c>
      <c r="C75" s="12" t="s">
        <v>341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46"/>
      <c r="L75" s="34"/>
      <c r="M75" s="39">
        <v>39062500</v>
      </c>
      <c r="N75" s="39">
        <v>316.40625</v>
      </c>
      <c r="O75" s="39">
        <v>78125000</v>
      </c>
      <c r="P75" s="39">
        <f>P49*1</f>
        <v>3000</v>
      </c>
      <c r="Q75" s="39">
        <f>Q49*1</f>
        <v>365</v>
      </c>
      <c r="R75" s="36">
        <v>0.75</v>
      </c>
      <c r="S75" s="39">
        <f>S49*1</f>
        <v>400</v>
      </c>
      <c r="T75" s="35">
        <v>0</v>
      </c>
      <c r="U75" s="39">
        <f>U49*1</f>
        <v>200</v>
      </c>
      <c r="V75" s="39">
        <v>100</v>
      </c>
      <c r="W75" s="42">
        <v>20</v>
      </c>
      <c r="X75" s="42">
        <v>1382.4</v>
      </c>
      <c r="Y75" s="42">
        <v>0</v>
      </c>
      <c r="Z75" s="42">
        <v>0</v>
      </c>
    </row>
    <row r="76" spans="1:26" ht="15" x14ac:dyDescent="0.15">
      <c r="A76" s="27" t="s">
        <v>282</v>
      </c>
      <c r="B76" s="11" t="s">
        <v>178</v>
      </c>
      <c r="C76" s="12" t="s">
        <v>341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46"/>
      <c r="L76" s="34"/>
      <c r="M76" s="39">
        <f t="shared" ref="M76:N76" si="62">M55*1.1</f>
        <v>182617187.5</v>
      </c>
      <c r="N76" s="39">
        <f t="shared" si="62"/>
        <v>1607.0312500000002</v>
      </c>
      <c r="O76" s="39">
        <f>O55*1.1</f>
        <v>365234375</v>
      </c>
      <c r="P76" s="39">
        <f>P53*1</f>
        <v>30000</v>
      </c>
      <c r="Q76" s="39">
        <f>Q53*1</f>
        <v>385</v>
      </c>
      <c r="R76" s="36">
        <v>0.75</v>
      </c>
      <c r="S76" s="39">
        <f>S53*1</f>
        <v>3960</v>
      </c>
      <c r="T76" s="35">
        <v>0</v>
      </c>
      <c r="U76" s="39">
        <f>U53*1</f>
        <v>200</v>
      </c>
      <c r="V76" s="39">
        <v>200</v>
      </c>
      <c r="W76" s="42">
        <v>20</v>
      </c>
      <c r="X76" s="42">
        <v>2534.4</v>
      </c>
      <c r="Y76" s="42">
        <v>0</v>
      </c>
      <c r="Z76" s="42">
        <v>0</v>
      </c>
    </row>
    <row r="77" spans="1:26" ht="15" x14ac:dyDescent="0.15">
      <c r="A77" s="27" t="s">
        <v>283</v>
      </c>
      <c r="B77" s="11" t="s">
        <v>179</v>
      </c>
      <c r="C77" s="12" t="s">
        <v>341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46"/>
      <c r="L77" s="34"/>
      <c r="M77" s="39">
        <f t="shared" ref="M77:N77" si="63">M63*0.9</f>
        <v>1260041062.5000007</v>
      </c>
      <c r="N77" s="39">
        <f t="shared" si="63"/>
        <v>11088.361350000003</v>
      </c>
      <c r="O77" s="39">
        <f>O63*0.9</f>
        <v>2520082125.0000014</v>
      </c>
      <c r="P77" s="39">
        <f>P58</f>
        <v>30000</v>
      </c>
      <c r="Q77" s="39">
        <f>Q58</f>
        <v>410</v>
      </c>
      <c r="R77" s="36">
        <v>0.75</v>
      </c>
      <c r="S77" s="39">
        <f>S58</f>
        <v>16864.848000000002</v>
      </c>
      <c r="T77" s="35">
        <v>0</v>
      </c>
      <c r="U77" s="39">
        <f>U58</f>
        <v>200</v>
      </c>
      <c r="V77" s="39">
        <v>300</v>
      </c>
      <c r="W77" s="42">
        <v>20</v>
      </c>
      <c r="X77" s="42">
        <v>3600</v>
      </c>
      <c r="Y77" s="42">
        <v>10</v>
      </c>
      <c r="Z77" s="42">
        <v>250</v>
      </c>
    </row>
    <row r="78" spans="1:26" ht="15" x14ac:dyDescent="0.15">
      <c r="A78" s="27" t="s">
        <v>284</v>
      </c>
      <c r="B78" s="11" t="s">
        <v>180</v>
      </c>
      <c r="C78" s="12" t="s">
        <v>341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46"/>
      <c r="L78" s="34"/>
      <c r="M78" s="39">
        <f t="shared" ref="M78:N78" si="64">M65*1.2</f>
        <v>2772090337.5000014</v>
      </c>
      <c r="N78" s="39">
        <f t="shared" si="64"/>
        <v>24394.394970000005</v>
      </c>
      <c r="O78" s="39">
        <f>O65*1.2</f>
        <v>5544180675.0000029</v>
      </c>
      <c r="P78" s="39">
        <f>P64</f>
        <v>30000</v>
      </c>
      <c r="Q78" s="39">
        <f>Q64</f>
        <v>440</v>
      </c>
      <c r="R78" s="36">
        <v>0.75</v>
      </c>
      <c r="S78" s="39">
        <f>S64</f>
        <v>63647.126839295983</v>
      </c>
      <c r="T78" s="35">
        <v>0</v>
      </c>
      <c r="U78" s="39">
        <f>U64</f>
        <v>200</v>
      </c>
      <c r="V78" s="39">
        <f>V64</f>
        <v>500</v>
      </c>
      <c r="W78" s="42">
        <v>20</v>
      </c>
      <c r="X78" s="42">
        <v>5529.6</v>
      </c>
      <c r="Y78" s="42">
        <v>20</v>
      </c>
      <c r="Z78" s="42">
        <v>500</v>
      </c>
    </row>
    <row r="79" spans="1:26" ht="15" x14ac:dyDescent="0.15">
      <c r="A79" s="27" t="s">
        <v>285</v>
      </c>
      <c r="B79" s="11" t="s">
        <v>181</v>
      </c>
      <c r="C79" s="12" t="s">
        <v>341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46"/>
      <c r="L79" s="34"/>
      <c r="M79" s="39">
        <f>M53*1.1</f>
        <v>85937500</v>
      </c>
      <c r="N79" s="39">
        <f t="shared" ref="N79:O79" si="65">N53*1.1</f>
        <v>756.25000000000011</v>
      </c>
      <c r="O79" s="39">
        <f t="shared" si="65"/>
        <v>171875000</v>
      </c>
      <c r="P79" s="39">
        <f>P50*1</f>
        <v>3000</v>
      </c>
      <c r="Q79" s="39">
        <f>Q50*1</f>
        <v>370</v>
      </c>
      <c r="R79" s="36">
        <v>0.75</v>
      </c>
      <c r="S79" s="39">
        <f>S50*1</f>
        <v>800</v>
      </c>
      <c r="T79" s="35">
        <v>0</v>
      </c>
      <c r="U79" s="39">
        <f>U50*1</f>
        <v>200</v>
      </c>
      <c r="V79" s="39">
        <v>100</v>
      </c>
      <c r="W79" s="42">
        <v>20</v>
      </c>
      <c r="X79" s="42">
        <v>1350</v>
      </c>
      <c r="Y79" s="42">
        <v>0</v>
      </c>
      <c r="Z79" s="42">
        <v>0</v>
      </c>
    </row>
    <row r="80" spans="1:26" ht="15" x14ac:dyDescent="0.15">
      <c r="A80" s="27" t="s">
        <v>286</v>
      </c>
      <c r="B80" s="11" t="s">
        <v>182</v>
      </c>
      <c r="C80" s="12" t="s">
        <v>341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46"/>
      <c r="L80" s="34"/>
      <c r="M80" s="39">
        <f>M55*1.1</f>
        <v>182617187.5</v>
      </c>
      <c r="N80" s="39">
        <f t="shared" ref="N80:O80" si="66">N55*1.1</f>
        <v>1607.0312500000002</v>
      </c>
      <c r="O80" s="39">
        <f t="shared" si="66"/>
        <v>365234375</v>
      </c>
      <c r="P80" s="39">
        <f t="shared" ref="P80:Q88" si="67">P52*1</f>
        <v>30000</v>
      </c>
      <c r="Q80" s="39">
        <f t="shared" si="67"/>
        <v>380</v>
      </c>
      <c r="R80" s="36">
        <v>0.75</v>
      </c>
      <c r="S80" s="39">
        <f t="shared" ref="S80:U88" si="68">S52*1</f>
        <v>2640</v>
      </c>
      <c r="T80" s="35">
        <v>0</v>
      </c>
      <c r="U80" s="39">
        <f t="shared" si="68"/>
        <v>200</v>
      </c>
      <c r="V80" s="39">
        <v>150</v>
      </c>
      <c r="W80" s="42">
        <v>20</v>
      </c>
      <c r="X80" s="42">
        <v>2250</v>
      </c>
      <c r="Y80" s="42">
        <v>0</v>
      </c>
      <c r="Z80" s="42">
        <v>0</v>
      </c>
    </row>
    <row r="81" spans="1:26" ht="15" x14ac:dyDescent="0.15">
      <c r="A81" s="27" t="s">
        <v>287</v>
      </c>
      <c r="B81" s="11" t="s">
        <v>183</v>
      </c>
      <c r="C81" s="12" t="s">
        <v>341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46"/>
      <c r="L81" s="34"/>
      <c r="M81" s="39">
        <f>M57*1.1</f>
        <v>321406250</v>
      </c>
      <c r="N81" s="39">
        <f t="shared" ref="N81:O81" si="69">N57*1.1</f>
        <v>2828.3750000000005</v>
      </c>
      <c r="O81" s="39">
        <f t="shared" si="69"/>
        <v>642812500</v>
      </c>
      <c r="P81" s="39">
        <f t="shared" si="67"/>
        <v>30000</v>
      </c>
      <c r="Q81" s="39">
        <f t="shared" si="67"/>
        <v>385</v>
      </c>
      <c r="R81" s="36">
        <v>0.75</v>
      </c>
      <c r="S81" s="39">
        <f t="shared" si="68"/>
        <v>3960</v>
      </c>
      <c r="T81" s="35">
        <v>0</v>
      </c>
      <c r="U81" s="39">
        <f t="shared" si="68"/>
        <v>200</v>
      </c>
      <c r="V81" s="39">
        <v>200</v>
      </c>
      <c r="W81" s="42">
        <v>20</v>
      </c>
      <c r="X81" s="42">
        <v>3150</v>
      </c>
      <c r="Y81" s="42">
        <v>0</v>
      </c>
      <c r="Z81" s="42">
        <v>0</v>
      </c>
    </row>
    <row r="82" spans="1:26" ht="15" x14ac:dyDescent="0.15">
      <c r="A82" s="27" t="s">
        <v>288</v>
      </c>
      <c r="B82" s="11" t="s">
        <v>184</v>
      </c>
      <c r="C82" s="12" t="s">
        <v>341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46"/>
      <c r="L82" s="34"/>
      <c r="M82" s="39">
        <f>M59*1.1</f>
        <v>565675000.00000012</v>
      </c>
      <c r="N82" s="39">
        <f t="shared" ref="N82:O82" si="70">N59*1.1</f>
        <v>4977.9400000000014</v>
      </c>
      <c r="O82" s="39">
        <f t="shared" si="70"/>
        <v>1131350000.0000002</v>
      </c>
      <c r="P82" s="39">
        <f t="shared" si="67"/>
        <v>30000</v>
      </c>
      <c r="Q82" s="39">
        <f t="shared" si="67"/>
        <v>390</v>
      </c>
      <c r="R82" s="36">
        <v>0.75</v>
      </c>
      <c r="S82" s="39">
        <f t="shared" si="68"/>
        <v>5940</v>
      </c>
      <c r="T82" s="35">
        <v>0</v>
      </c>
      <c r="U82" s="39">
        <f t="shared" si="68"/>
        <v>200</v>
      </c>
      <c r="V82" s="39">
        <v>250</v>
      </c>
      <c r="W82" s="42">
        <v>20</v>
      </c>
      <c r="X82" s="42">
        <v>4050</v>
      </c>
      <c r="Y82" s="42">
        <v>0</v>
      </c>
      <c r="Z82" s="42">
        <v>0</v>
      </c>
    </row>
    <row r="83" spans="1:26" ht="15" x14ac:dyDescent="0.15">
      <c r="A83" s="27" t="s">
        <v>289</v>
      </c>
      <c r="B83" s="11" t="s">
        <v>185</v>
      </c>
      <c r="C83" s="12" t="s">
        <v>341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46"/>
      <c r="L83" s="34"/>
      <c r="M83" s="39">
        <f>M61*1.1</f>
        <v>933363750.00000036</v>
      </c>
      <c r="N83" s="39">
        <f t="shared" ref="N83:O83" si="71">N61*1.1</f>
        <v>8213.6010000000024</v>
      </c>
      <c r="O83" s="39">
        <f t="shared" si="71"/>
        <v>1866727500.0000007</v>
      </c>
      <c r="P83" s="39">
        <f t="shared" si="67"/>
        <v>30000</v>
      </c>
      <c r="Q83" s="39">
        <f t="shared" si="67"/>
        <v>395</v>
      </c>
      <c r="R83" s="36">
        <v>0.75</v>
      </c>
      <c r="S83" s="39">
        <f t="shared" si="68"/>
        <v>8316</v>
      </c>
      <c r="T83" s="35">
        <v>0</v>
      </c>
      <c r="U83" s="39">
        <f t="shared" si="68"/>
        <v>200</v>
      </c>
      <c r="V83" s="39">
        <v>300</v>
      </c>
      <c r="W83" s="42">
        <v>20</v>
      </c>
      <c r="X83" s="42">
        <v>4950</v>
      </c>
      <c r="Y83" s="42">
        <v>0</v>
      </c>
      <c r="Z83" s="42">
        <v>0</v>
      </c>
    </row>
    <row r="84" spans="1:26" ht="15" x14ac:dyDescent="0.15">
      <c r="A84" s="27" t="s">
        <v>290</v>
      </c>
      <c r="B84" s="11" t="s">
        <v>186</v>
      </c>
      <c r="C84" s="12" t="s">
        <v>341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46"/>
      <c r="L84" s="34"/>
      <c r="M84" s="39">
        <f>M63*1.1</f>
        <v>1540050187.500001</v>
      </c>
      <c r="N84" s="39">
        <f t="shared" ref="N84:O84" si="72">N63*1.1</f>
        <v>13552.441650000004</v>
      </c>
      <c r="O84" s="39">
        <f t="shared" si="72"/>
        <v>3080100375.0000019</v>
      </c>
      <c r="P84" s="39">
        <f t="shared" si="67"/>
        <v>30000</v>
      </c>
      <c r="Q84" s="39">
        <f t="shared" si="67"/>
        <v>400</v>
      </c>
      <c r="R84" s="36">
        <v>0.75</v>
      </c>
      <c r="S84" s="39">
        <f t="shared" si="68"/>
        <v>10810.800000000001</v>
      </c>
      <c r="T84" s="35">
        <v>0</v>
      </c>
      <c r="U84" s="39">
        <f t="shared" si="68"/>
        <v>200</v>
      </c>
      <c r="V84" s="39">
        <v>350</v>
      </c>
      <c r="W84" s="42">
        <v>20</v>
      </c>
      <c r="X84" s="42">
        <v>5850</v>
      </c>
      <c r="Y84" s="42">
        <v>10</v>
      </c>
      <c r="Z84" s="42">
        <v>250</v>
      </c>
    </row>
    <row r="85" spans="1:26" ht="15" x14ac:dyDescent="0.15">
      <c r="A85" s="27" t="s">
        <v>291</v>
      </c>
      <c r="B85" s="11" t="s">
        <v>214</v>
      </c>
      <c r="C85" s="12" t="s">
        <v>341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46"/>
      <c r="L85" s="34"/>
      <c r="M85" s="39">
        <f>M65*1.05</f>
        <v>2425579045.3125014</v>
      </c>
      <c r="N85" s="39">
        <f t="shared" ref="N85:O85" si="73">N65*1.05</f>
        <v>21345.095598750006</v>
      </c>
      <c r="O85" s="39">
        <f t="shared" si="73"/>
        <v>4851158090.6250029</v>
      </c>
      <c r="P85" s="39">
        <f t="shared" si="67"/>
        <v>30000</v>
      </c>
      <c r="Q85" s="39">
        <f t="shared" si="67"/>
        <v>405</v>
      </c>
      <c r="R85" s="36">
        <v>0.75</v>
      </c>
      <c r="S85" s="39">
        <f t="shared" si="68"/>
        <v>14054.04</v>
      </c>
      <c r="T85" s="35">
        <v>0</v>
      </c>
      <c r="U85" s="39">
        <f t="shared" si="68"/>
        <v>200</v>
      </c>
      <c r="V85" s="39">
        <v>400</v>
      </c>
      <c r="W85" s="42">
        <v>20</v>
      </c>
      <c r="X85" s="42">
        <v>6750</v>
      </c>
      <c r="Y85" s="42">
        <v>20</v>
      </c>
      <c r="Z85" s="42">
        <v>500</v>
      </c>
    </row>
    <row r="86" spans="1:26" ht="15" x14ac:dyDescent="0.15">
      <c r="A86" s="27" t="s">
        <v>292</v>
      </c>
      <c r="B86" s="11" t="s">
        <v>215</v>
      </c>
      <c r="C86" s="12" t="s">
        <v>341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46"/>
      <c r="L86" s="34"/>
      <c r="M86" s="39">
        <f>M85*1.1</f>
        <v>2668136949.8437519</v>
      </c>
      <c r="N86" s="39">
        <f t="shared" ref="N86:O88" si="74">N85*1.1</f>
        <v>23479.605158625007</v>
      </c>
      <c r="O86" s="39">
        <f t="shared" si="74"/>
        <v>5336273899.6875038</v>
      </c>
      <c r="P86" s="39">
        <f t="shared" si="67"/>
        <v>30000</v>
      </c>
      <c r="Q86" s="39">
        <f t="shared" si="67"/>
        <v>410</v>
      </c>
      <c r="R86" s="36">
        <v>0.75</v>
      </c>
      <c r="S86" s="39">
        <f t="shared" si="68"/>
        <v>16864.848000000002</v>
      </c>
      <c r="T86" s="35">
        <v>0</v>
      </c>
      <c r="U86" s="39">
        <f t="shared" si="68"/>
        <v>200</v>
      </c>
      <c r="V86" s="39">
        <v>450</v>
      </c>
      <c r="W86" s="42">
        <v>20</v>
      </c>
      <c r="X86" s="42">
        <v>7650</v>
      </c>
      <c r="Y86" s="42">
        <v>20</v>
      </c>
      <c r="Z86" s="42">
        <v>500</v>
      </c>
    </row>
    <row r="87" spans="1:26" ht="15" x14ac:dyDescent="0.15">
      <c r="A87" s="27" t="s">
        <v>293</v>
      </c>
      <c r="B87" s="11" t="s">
        <v>216</v>
      </c>
      <c r="C87" s="12" t="s">
        <v>341</v>
      </c>
      <c r="E87" s="15"/>
      <c r="F87" s="33">
        <v>500</v>
      </c>
      <c r="G87" s="42"/>
      <c r="H87" s="42"/>
      <c r="I87" s="33">
        <v>500</v>
      </c>
      <c r="J87" s="49">
        <v>0.1</v>
      </c>
      <c r="K87" s="46"/>
      <c r="L87" s="34"/>
      <c r="M87" s="39">
        <f>M86*1.1</f>
        <v>2934950644.8281274</v>
      </c>
      <c r="N87" s="39">
        <f t="shared" si="74"/>
        <v>25827.565674487509</v>
      </c>
      <c r="O87" s="39">
        <f t="shared" si="74"/>
        <v>5869901289.6562548</v>
      </c>
      <c r="P87" s="39">
        <f t="shared" si="67"/>
        <v>30000</v>
      </c>
      <c r="Q87" s="39">
        <f t="shared" si="67"/>
        <v>415</v>
      </c>
      <c r="R87" s="36">
        <v>0.75</v>
      </c>
      <c r="S87" s="39">
        <f t="shared" si="68"/>
        <v>20237.817600000002</v>
      </c>
      <c r="T87" s="35">
        <v>0</v>
      </c>
      <c r="U87" s="39">
        <f t="shared" si="68"/>
        <v>200</v>
      </c>
      <c r="V87" s="39">
        <v>500</v>
      </c>
      <c r="W87" s="42">
        <v>20</v>
      </c>
      <c r="X87" s="42">
        <v>8550</v>
      </c>
      <c r="Y87" s="42">
        <v>20</v>
      </c>
      <c r="Z87" s="42">
        <v>500</v>
      </c>
    </row>
    <row r="88" spans="1:26" ht="15" x14ac:dyDescent="0.15">
      <c r="A88" s="27" t="s">
        <v>294</v>
      </c>
      <c r="B88" s="11" t="s">
        <v>219</v>
      </c>
      <c r="C88" s="12" t="s">
        <v>341</v>
      </c>
      <c r="E88" s="15"/>
      <c r="F88" s="33">
        <v>500</v>
      </c>
      <c r="G88" s="42"/>
      <c r="H88" s="42"/>
      <c r="I88" s="33">
        <v>500</v>
      </c>
      <c r="J88" s="49">
        <v>0.1</v>
      </c>
      <c r="K88" s="46"/>
      <c r="L88" s="34"/>
      <c r="M88" s="39">
        <f>M87*1.1</f>
        <v>3228445709.3109403</v>
      </c>
      <c r="N88" s="39">
        <f t="shared" si="74"/>
        <v>28410.322241936261</v>
      </c>
      <c r="O88" s="39">
        <f t="shared" si="74"/>
        <v>6456891418.6218805</v>
      </c>
      <c r="P88" s="39">
        <f t="shared" si="67"/>
        <v>30000</v>
      </c>
      <c r="Q88" s="39">
        <f t="shared" si="67"/>
        <v>420</v>
      </c>
      <c r="R88" s="36">
        <v>0.75</v>
      </c>
      <c r="S88" s="39">
        <f t="shared" si="68"/>
        <v>24285.381119999998</v>
      </c>
      <c r="T88" s="35">
        <v>0</v>
      </c>
      <c r="U88" s="39">
        <f t="shared" si="68"/>
        <v>200</v>
      </c>
      <c r="V88" s="39">
        <v>550</v>
      </c>
      <c r="W88" s="42">
        <v>20</v>
      </c>
      <c r="X88" s="42">
        <v>13500</v>
      </c>
      <c r="Y88" s="42">
        <v>20</v>
      </c>
      <c r="Z88" s="42">
        <v>500</v>
      </c>
    </row>
    <row r="89" spans="1:26" ht="15" x14ac:dyDescent="0.15">
      <c r="A89" s="27" t="s">
        <v>368</v>
      </c>
      <c r="B89" s="11" t="s">
        <v>220</v>
      </c>
      <c r="C89" s="12" t="s">
        <v>329</v>
      </c>
      <c r="E89" s="15"/>
      <c r="F89" s="33">
        <v>500</v>
      </c>
      <c r="G89" s="42"/>
      <c r="H89" s="42"/>
      <c r="I89" s="33">
        <v>500</v>
      </c>
      <c r="J89" s="49">
        <v>0.1</v>
      </c>
      <c r="K89" s="46"/>
      <c r="L89" s="34"/>
      <c r="M89" s="39">
        <f>M93/10</f>
        <v>33747656.25</v>
      </c>
      <c r="N89" s="39">
        <f t="shared" ref="N89:O89" si="75">N93/10</f>
        <v>296.97937500000006</v>
      </c>
      <c r="O89" s="39">
        <f t="shared" si="75"/>
        <v>67495312.5</v>
      </c>
      <c r="P89" s="39">
        <f t="shared" ref="P89:U89" si="76">P55*1</f>
        <v>30000</v>
      </c>
      <c r="Q89" s="39">
        <f t="shared" si="76"/>
        <v>395</v>
      </c>
      <c r="R89" s="39">
        <f t="shared" si="76"/>
        <v>0.75</v>
      </c>
      <c r="S89" s="39">
        <f t="shared" si="76"/>
        <v>8316</v>
      </c>
      <c r="T89" s="35">
        <v>0</v>
      </c>
      <c r="U89" s="39">
        <f t="shared" si="76"/>
        <v>200</v>
      </c>
      <c r="V89" s="39">
        <v>200</v>
      </c>
      <c r="W89" s="39">
        <v>20</v>
      </c>
      <c r="X89" s="39">
        <v>576</v>
      </c>
      <c r="Y89" s="39">
        <f>Y55*1</f>
        <v>0</v>
      </c>
      <c r="Z89" s="39">
        <v>0</v>
      </c>
    </row>
    <row r="90" spans="1:26" ht="15" x14ac:dyDescent="0.15">
      <c r="A90" s="27" t="s">
        <v>370</v>
      </c>
      <c r="B90" s="11" t="s">
        <v>221</v>
      </c>
      <c r="C90" s="12" t="s">
        <v>329</v>
      </c>
      <c r="E90" s="15"/>
      <c r="F90" s="33">
        <v>500</v>
      </c>
      <c r="G90" s="42"/>
      <c r="H90" s="42"/>
      <c r="I90" s="33">
        <v>500</v>
      </c>
      <c r="J90" s="49">
        <v>0.1</v>
      </c>
      <c r="K90" s="46"/>
      <c r="L90" s="34"/>
      <c r="M90" s="39">
        <f>M94/8</f>
        <v>122503992.18750004</v>
      </c>
      <c r="N90" s="39">
        <f t="shared" ref="N90:O90" si="77">N94/8</f>
        <v>1078.0351312500004</v>
      </c>
      <c r="O90" s="39">
        <f t="shared" si="77"/>
        <v>245007984.37500009</v>
      </c>
      <c r="P90" s="39">
        <f t="shared" ref="P90:U90" si="78">P59*1</f>
        <v>30000</v>
      </c>
      <c r="Q90" s="39">
        <f t="shared" si="78"/>
        <v>415</v>
      </c>
      <c r="R90" s="39">
        <f t="shared" si="78"/>
        <v>0.75</v>
      </c>
      <c r="S90" s="39">
        <f t="shared" si="78"/>
        <v>20237.817600000002</v>
      </c>
      <c r="T90" s="35">
        <v>0</v>
      </c>
      <c r="U90" s="39">
        <f t="shared" si="78"/>
        <v>200</v>
      </c>
      <c r="V90" s="39">
        <v>300</v>
      </c>
      <c r="W90" s="39">
        <v>20</v>
      </c>
      <c r="X90" s="39">
        <v>1152</v>
      </c>
      <c r="Y90" s="39">
        <f>Y59*1</f>
        <v>0</v>
      </c>
      <c r="Z90" s="39">
        <v>0</v>
      </c>
    </row>
    <row r="91" spans="1:26" ht="15" x14ac:dyDescent="0.15">
      <c r="A91" s="27" t="s">
        <v>371</v>
      </c>
      <c r="B91" s="11" t="s">
        <v>222</v>
      </c>
      <c r="C91" s="12" t="s">
        <v>329</v>
      </c>
      <c r="E91" s="15"/>
      <c r="F91" s="33">
        <v>500</v>
      </c>
      <c r="G91" s="42"/>
      <c r="H91" s="42"/>
      <c r="I91" s="33">
        <v>500</v>
      </c>
      <c r="J91" s="49">
        <v>0.1</v>
      </c>
      <c r="K91" s="46"/>
      <c r="L91" s="34"/>
      <c r="M91" s="39">
        <f>M95/6</f>
        <v>424476332.92968774</v>
      </c>
      <c r="N91" s="39">
        <f t="shared" ref="N91:O91" si="79">N95/6</f>
        <v>3735.3917297812513</v>
      </c>
      <c r="O91" s="39">
        <f t="shared" si="79"/>
        <v>848952665.85937548</v>
      </c>
      <c r="P91" s="39">
        <f t="shared" ref="P91:U91" si="80">P63*1</f>
        <v>30000</v>
      </c>
      <c r="Q91" s="39">
        <f t="shared" si="80"/>
        <v>435</v>
      </c>
      <c r="R91" s="39">
        <f t="shared" si="80"/>
        <v>0.75</v>
      </c>
      <c r="S91" s="39">
        <f t="shared" si="80"/>
        <v>53039.272366079997</v>
      </c>
      <c r="T91" s="35">
        <v>0</v>
      </c>
      <c r="U91" s="39">
        <f t="shared" si="80"/>
        <v>200</v>
      </c>
      <c r="V91" s="39">
        <v>400</v>
      </c>
      <c r="W91" s="39">
        <v>20</v>
      </c>
      <c r="X91" s="39">
        <v>1728</v>
      </c>
      <c r="Y91" s="39">
        <v>0</v>
      </c>
      <c r="Z91" s="39">
        <v>0</v>
      </c>
    </row>
    <row r="92" spans="1:26" ht="15" x14ac:dyDescent="0.15">
      <c r="A92" s="27" t="s">
        <v>372</v>
      </c>
      <c r="B92" s="11" t="s">
        <v>223</v>
      </c>
      <c r="C92" s="12" t="s">
        <v>329</v>
      </c>
      <c r="E92" s="15"/>
      <c r="F92" s="33">
        <v>500</v>
      </c>
      <c r="G92" s="42"/>
      <c r="H92" s="42"/>
      <c r="I92" s="33">
        <v>500</v>
      </c>
      <c r="J92" s="49">
        <v>0.1</v>
      </c>
      <c r="K92" s="46"/>
      <c r="L92" s="34"/>
      <c r="M92" s="39">
        <f>M96/4</f>
        <v>770424544.26738346</v>
      </c>
      <c r="N92" s="39">
        <f t="shared" ref="N92:O92" si="81">N96/4</f>
        <v>6779.7359895529717</v>
      </c>
      <c r="O92" s="39">
        <f t="shared" si="81"/>
        <v>1540849088.5347669</v>
      </c>
      <c r="P92" s="39">
        <f t="shared" ref="P92:U92" si="82">P69*1</f>
        <v>30000</v>
      </c>
      <c r="Q92" s="39">
        <f t="shared" si="82"/>
        <v>465</v>
      </c>
      <c r="R92" s="39">
        <f t="shared" si="82"/>
        <v>0.75</v>
      </c>
      <c r="S92" s="39">
        <f t="shared" si="82"/>
        <v>234918.99927876794</v>
      </c>
      <c r="T92" s="35">
        <v>0</v>
      </c>
      <c r="U92" s="39">
        <f t="shared" si="82"/>
        <v>200</v>
      </c>
      <c r="V92" s="39">
        <v>500</v>
      </c>
      <c r="W92" s="39">
        <v>20</v>
      </c>
      <c r="X92" s="39">
        <v>2304</v>
      </c>
      <c r="Y92" s="39">
        <v>0</v>
      </c>
      <c r="Z92" s="39">
        <v>0</v>
      </c>
    </row>
    <row r="93" spans="1:26" ht="15" x14ac:dyDescent="0.15">
      <c r="A93" s="27" t="s">
        <v>369</v>
      </c>
      <c r="B93" s="11" t="s">
        <v>224</v>
      </c>
      <c r="C93" s="12" t="s">
        <v>341</v>
      </c>
      <c r="E93" s="15"/>
      <c r="F93" s="33">
        <v>500</v>
      </c>
      <c r="G93" s="42"/>
      <c r="H93" s="42"/>
      <c r="I93" s="33">
        <v>500</v>
      </c>
      <c r="J93" s="49">
        <v>0.1</v>
      </c>
      <c r="K93" s="46"/>
      <c r="L93" s="34"/>
      <c r="M93" s="39">
        <f>M81*1.05</f>
        <v>337476562.5</v>
      </c>
      <c r="N93" s="39">
        <f t="shared" ref="N93:O93" si="83">N81*1.05</f>
        <v>2969.7937500000007</v>
      </c>
      <c r="O93" s="39">
        <f t="shared" si="83"/>
        <v>674953125</v>
      </c>
      <c r="P93" s="39">
        <f>P57*1</f>
        <v>30000</v>
      </c>
      <c r="Q93" s="39">
        <f>Q57*1</f>
        <v>405</v>
      </c>
      <c r="R93" s="36">
        <v>0.75</v>
      </c>
      <c r="S93" s="39">
        <f>S57*1</f>
        <v>14054.04</v>
      </c>
      <c r="T93" s="35">
        <v>0</v>
      </c>
      <c r="U93" s="39">
        <f>U57*1</f>
        <v>200</v>
      </c>
      <c r="V93" s="39">
        <v>200</v>
      </c>
      <c r="W93" s="39">
        <v>20</v>
      </c>
      <c r="X93" s="39">
        <v>2880</v>
      </c>
      <c r="Y93" s="39">
        <f>Y57*1</f>
        <v>0</v>
      </c>
      <c r="Z93" s="39">
        <v>0</v>
      </c>
    </row>
    <row r="94" spans="1:26" ht="15" x14ac:dyDescent="0.15">
      <c r="A94" s="27" t="s">
        <v>373</v>
      </c>
      <c r="B94" s="11" t="s">
        <v>225</v>
      </c>
      <c r="C94" s="12" t="s">
        <v>341</v>
      </c>
      <c r="E94" s="15"/>
      <c r="F94" s="33">
        <v>500</v>
      </c>
      <c r="G94" s="42"/>
      <c r="H94" s="42"/>
      <c r="I94" s="33">
        <v>500</v>
      </c>
      <c r="J94" s="49">
        <v>0.1</v>
      </c>
      <c r="K94" s="46"/>
      <c r="L94" s="34"/>
      <c r="M94" s="39">
        <f>M83*1.05</f>
        <v>980031937.50000036</v>
      </c>
      <c r="N94" s="39">
        <f t="shared" ref="N94:O94" si="84">N83*1.05</f>
        <v>8624.2810500000032</v>
      </c>
      <c r="O94" s="39">
        <f t="shared" si="84"/>
        <v>1960063875.0000007</v>
      </c>
      <c r="P94" s="39">
        <f>P61*1</f>
        <v>30000</v>
      </c>
      <c r="Q94" s="39">
        <f>Q61*1</f>
        <v>425</v>
      </c>
      <c r="R94" s="36">
        <v>0.75</v>
      </c>
      <c r="S94" s="39">
        <f>S61*1</f>
        <v>33999.533567999999</v>
      </c>
      <c r="T94" s="35">
        <v>0</v>
      </c>
      <c r="U94" s="39">
        <f>U61*1</f>
        <v>200</v>
      </c>
      <c r="V94" s="39">
        <v>300</v>
      </c>
      <c r="W94" s="39">
        <v>20</v>
      </c>
      <c r="X94" s="39">
        <v>3456</v>
      </c>
      <c r="Y94" s="39">
        <f>Y61*1</f>
        <v>0</v>
      </c>
      <c r="Z94" s="39">
        <v>0</v>
      </c>
    </row>
    <row r="95" spans="1:26" ht="15" x14ac:dyDescent="0.15">
      <c r="A95" s="27" t="s">
        <v>374</v>
      </c>
      <c r="B95" s="11" t="s">
        <v>226</v>
      </c>
      <c r="C95" s="12" t="s">
        <v>341</v>
      </c>
      <c r="E95" s="15"/>
      <c r="F95" s="33">
        <v>500</v>
      </c>
      <c r="G95" s="42"/>
      <c r="H95" s="42"/>
      <c r="I95" s="33">
        <v>500</v>
      </c>
      <c r="J95" s="49">
        <v>0.1</v>
      </c>
      <c r="K95" s="46"/>
      <c r="L95" s="34"/>
      <c r="M95" s="39">
        <f>M85*1.05</f>
        <v>2546857997.5781264</v>
      </c>
      <c r="N95" s="39">
        <f t="shared" ref="N95:O95" si="85">N85*1.05</f>
        <v>22412.350378687508</v>
      </c>
      <c r="O95" s="39">
        <f t="shared" si="85"/>
        <v>5093715995.1562529</v>
      </c>
      <c r="P95" s="39">
        <f>P65*1</f>
        <v>30000</v>
      </c>
      <c r="Q95" s="39">
        <f>Q65*1</f>
        <v>445</v>
      </c>
      <c r="R95" s="36">
        <v>0.75</v>
      </c>
      <c r="S95" s="39">
        <f>S65*1</f>
        <v>76376.552207155182</v>
      </c>
      <c r="T95" s="35">
        <v>0</v>
      </c>
      <c r="U95" s="39">
        <f>U65*1</f>
        <v>200</v>
      </c>
      <c r="V95" s="39">
        <v>400</v>
      </c>
      <c r="W95" s="39">
        <v>20</v>
      </c>
      <c r="X95" s="39">
        <v>4500</v>
      </c>
      <c r="Y95" s="39">
        <v>20</v>
      </c>
      <c r="Z95" s="42">
        <v>500</v>
      </c>
    </row>
    <row r="96" spans="1:26" ht="15" x14ac:dyDescent="0.15">
      <c r="A96" s="27" t="s">
        <v>375</v>
      </c>
      <c r="B96" s="11" t="s">
        <v>227</v>
      </c>
      <c r="C96" s="12" t="s">
        <v>341</v>
      </c>
      <c r="E96" s="15"/>
      <c r="F96" s="33">
        <v>500</v>
      </c>
      <c r="G96" s="42"/>
      <c r="H96" s="42"/>
      <c r="I96" s="33">
        <v>500</v>
      </c>
      <c r="J96" s="49">
        <v>0.1</v>
      </c>
      <c r="K96" s="46"/>
      <c r="L96" s="34"/>
      <c r="M96" s="39">
        <f>M87*1.05</f>
        <v>3081698177.0695338</v>
      </c>
      <c r="N96" s="39">
        <f>N87*1.05</f>
        <v>27118.943958211887</v>
      </c>
      <c r="O96" s="39">
        <f t="shared" ref="O96" si="86">O87*1.05</f>
        <v>6163396354.1390676</v>
      </c>
      <c r="P96" s="39">
        <f>P69*1</f>
        <v>30000</v>
      </c>
      <c r="Q96" s="39">
        <f>Q69*1</f>
        <v>465</v>
      </c>
      <c r="R96" s="36">
        <v>0.75</v>
      </c>
      <c r="S96" s="39">
        <f>S69*1</f>
        <v>234918.99927876794</v>
      </c>
      <c r="T96" s="35">
        <v>0</v>
      </c>
      <c r="U96" s="39">
        <f>U69*1</f>
        <v>200</v>
      </c>
      <c r="V96" s="39">
        <v>500</v>
      </c>
      <c r="W96" s="39">
        <v>20</v>
      </c>
      <c r="X96" s="39">
        <v>6912</v>
      </c>
      <c r="Y96" s="39">
        <v>20</v>
      </c>
      <c r="Z96" s="42">
        <v>500</v>
      </c>
    </row>
    <row r="97" spans="1:26" ht="15" x14ac:dyDescent="0.15">
      <c r="A97" s="27" t="s">
        <v>295</v>
      </c>
      <c r="B97" s="11" t="s">
        <v>228</v>
      </c>
      <c r="C97" s="12" t="s">
        <v>329</v>
      </c>
      <c r="E97" s="15"/>
      <c r="F97" s="33">
        <v>0</v>
      </c>
      <c r="G97" s="42"/>
      <c r="H97" s="42"/>
      <c r="I97" s="33">
        <v>10</v>
      </c>
      <c r="J97" s="49">
        <v>0.1</v>
      </c>
      <c r="K97" s="46"/>
      <c r="L97" s="34"/>
      <c r="M97" s="39">
        <v>8</v>
      </c>
      <c r="N97" s="39">
        <v>4.5</v>
      </c>
      <c r="O97" s="39">
        <v>100</v>
      </c>
      <c r="P97" s="39">
        <f t="shared" ref="P97:U97" si="87">P4</f>
        <v>100</v>
      </c>
      <c r="Q97" s="39">
        <f t="shared" si="87"/>
        <v>350</v>
      </c>
      <c r="R97" s="39">
        <f t="shared" si="87"/>
        <v>1</v>
      </c>
      <c r="S97" s="39">
        <f t="shared" si="87"/>
        <v>11.000000000000002</v>
      </c>
      <c r="T97" s="35">
        <v>0</v>
      </c>
      <c r="U97" s="39">
        <f t="shared" si="87"/>
        <v>200</v>
      </c>
      <c r="V97" s="39">
        <v>50</v>
      </c>
      <c r="W97" s="39">
        <v>20</v>
      </c>
      <c r="X97" s="39">
        <v>45</v>
      </c>
      <c r="Y97" s="39">
        <f>Y4</f>
        <v>0</v>
      </c>
      <c r="Z97" s="39">
        <v>0</v>
      </c>
    </row>
    <row r="98" spans="1:26" ht="15" x14ac:dyDescent="0.15">
      <c r="A98" s="3" t="s">
        <v>327</v>
      </c>
      <c r="B98" s="11" t="s">
        <v>328</v>
      </c>
      <c r="C98" s="12" t="s">
        <v>341</v>
      </c>
      <c r="E98" s="15"/>
      <c r="F98" s="33">
        <v>0</v>
      </c>
      <c r="G98" s="42"/>
      <c r="H98" s="42"/>
      <c r="I98" s="33">
        <v>10</v>
      </c>
      <c r="J98" s="49">
        <v>25</v>
      </c>
      <c r="K98" s="46"/>
      <c r="L98" s="34"/>
      <c r="M98" s="39">
        <v>400</v>
      </c>
      <c r="N98" s="39">
        <v>9</v>
      </c>
      <c r="O98" s="39">
        <v>25000</v>
      </c>
      <c r="P98" s="39">
        <f t="shared" ref="P98:S99" si="88">P4</f>
        <v>100</v>
      </c>
      <c r="Q98" s="39">
        <f t="shared" si="88"/>
        <v>350</v>
      </c>
      <c r="R98" s="39">
        <f t="shared" si="88"/>
        <v>1</v>
      </c>
      <c r="S98" s="39">
        <f t="shared" si="88"/>
        <v>11.000000000000002</v>
      </c>
      <c r="T98" s="35">
        <v>0</v>
      </c>
      <c r="U98" s="39">
        <v>400</v>
      </c>
      <c r="V98" s="39">
        <v>50</v>
      </c>
      <c r="W98" s="39">
        <v>20</v>
      </c>
      <c r="X98" s="39">
        <v>450</v>
      </c>
      <c r="Y98" s="39">
        <f>Y4</f>
        <v>0</v>
      </c>
      <c r="Z98" s="39">
        <v>0</v>
      </c>
    </row>
    <row r="99" spans="1:26" ht="15" x14ac:dyDescent="0.15">
      <c r="A99" s="51" t="s">
        <v>365</v>
      </c>
      <c r="B99" s="11" t="s">
        <v>366</v>
      </c>
      <c r="C99" s="12" t="s">
        <v>341</v>
      </c>
      <c r="F99" s="33">
        <v>500</v>
      </c>
      <c r="G99" s="15"/>
      <c r="H99" s="15"/>
      <c r="I99" s="33">
        <v>500</v>
      </c>
      <c r="J99" s="49">
        <v>0.1</v>
      </c>
      <c r="K99" s="46"/>
      <c r="L99" s="15"/>
      <c r="M99" s="15">
        <v>2000000</v>
      </c>
      <c r="N99" s="15">
        <v>90</v>
      </c>
      <c r="O99" s="15">
        <v>10000000</v>
      </c>
      <c r="P99" s="39">
        <f t="shared" si="88"/>
        <v>100</v>
      </c>
      <c r="Q99" s="39">
        <f t="shared" si="88"/>
        <v>355</v>
      </c>
      <c r="R99" s="39">
        <f t="shared" si="88"/>
        <v>1</v>
      </c>
      <c r="S99" s="39">
        <f t="shared" si="88"/>
        <v>100</v>
      </c>
      <c r="T99" s="35">
        <v>0</v>
      </c>
      <c r="U99" s="39">
        <v>400</v>
      </c>
      <c r="V99" s="39">
        <v>50</v>
      </c>
      <c r="W99" s="39">
        <v>20</v>
      </c>
      <c r="X99" s="39">
        <v>576</v>
      </c>
      <c r="Y99" s="39">
        <f>Y5</f>
        <v>0</v>
      </c>
      <c r="Z99" s="39">
        <v>0</v>
      </c>
    </row>
    <row r="100" spans="1:26" ht="15" x14ac:dyDescent="0.15">
      <c r="A100" s="52" t="s">
        <v>419</v>
      </c>
      <c r="B100" s="11" t="s">
        <v>379</v>
      </c>
      <c r="C100" s="12" t="s">
        <v>341</v>
      </c>
      <c r="F100" s="33">
        <v>500</v>
      </c>
      <c r="I100" s="33">
        <v>500</v>
      </c>
      <c r="J100" s="49">
        <v>0.1</v>
      </c>
      <c r="K100" s="46"/>
      <c r="M100">
        <f>M62*1.25</f>
        <v>1590960937.5000005</v>
      </c>
      <c r="N100">
        <f t="shared" ref="N100:O100" si="89">N62*1.25</f>
        <v>14000.456250000003</v>
      </c>
      <c r="O100">
        <f t="shared" si="89"/>
        <v>3181921875.000001</v>
      </c>
      <c r="P100" s="39">
        <f>P72*1</f>
        <v>30000</v>
      </c>
      <c r="Q100" s="39">
        <f>Q72*1</f>
        <v>375</v>
      </c>
      <c r="R100" s="36">
        <v>0.75</v>
      </c>
      <c r="S100" s="39">
        <f>S72*1</f>
        <v>1760</v>
      </c>
      <c r="T100" s="35">
        <v>0</v>
      </c>
      <c r="U100" s="39">
        <f>U72*1</f>
        <v>200</v>
      </c>
      <c r="V100" s="39">
        <f>V72*1</f>
        <v>200</v>
      </c>
      <c r="W100" s="42">
        <v>20</v>
      </c>
      <c r="X100" s="42">
        <v>3600</v>
      </c>
      <c r="Y100" s="42">
        <v>0</v>
      </c>
      <c r="Z100" s="42">
        <v>0</v>
      </c>
    </row>
    <row r="101" spans="1:26" ht="15" x14ac:dyDescent="0.15">
      <c r="A101" s="52" t="s">
        <v>420</v>
      </c>
      <c r="B101" s="11" t="s">
        <v>380</v>
      </c>
      <c r="C101" s="12" t="s">
        <v>341</v>
      </c>
      <c r="F101" s="33">
        <v>500</v>
      </c>
      <c r="I101" s="33">
        <v>500</v>
      </c>
      <c r="J101" s="49">
        <v>0.1</v>
      </c>
      <c r="K101" s="46"/>
      <c r="M101">
        <v>1398305511.4746099</v>
      </c>
      <c r="N101">
        <v>11326.27464294434</v>
      </c>
      <c r="O101">
        <v>2796611022.9492197</v>
      </c>
      <c r="P101" s="39">
        <v>30000</v>
      </c>
      <c r="Q101" s="39">
        <v>350</v>
      </c>
      <c r="R101" s="36">
        <v>0.75</v>
      </c>
      <c r="S101" s="39">
        <v>1600</v>
      </c>
      <c r="T101" s="35">
        <v>0</v>
      </c>
      <c r="U101" s="39">
        <v>200</v>
      </c>
      <c r="V101" s="39">
        <v>100</v>
      </c>
      <c r="W101" s="42">
        <v>20</v>
      </c>
      <c r="X101" s="42">
        <v>3600</v>
      </c>
      <c r="Y101" s="42">
        <v>0</v>
      </c>
      <c r="Z101" s="42">
        <v>0</v>
      </c>
    </row>
    <row r="102" spans="1:26" ht="15" x14ac:dyDescent="0.15">
      <c r="A102" s="52" t="s">
        <v>421</v>
      </c>
      <c r="B102" s="11" t="s">
        <v>381</v>
      </c>
      <c r="C102" s="12" t="s">
        <v>341</v>
      </c>
      <c r="F102" s="33">
        <v>500</v>
      </c>
      <c r="I102" s="33">
        <v>500</v>
      </c>
      <c r="J102" s="49">
        <v>0.1</v>
      </c>
      <c r="K102" s="46"/>
      <c r="M102">
        <v>1398305511.4746099</v>
      </c>
      <c r="N102">
        <v>11327.2746429443</v>
      </c>
      <c r="O102">
        <v>2796611022.9492197</v>
      </c>
      <c r="P102" s="39">
        <v>30000</v>
      </c>
      <c r="Q102" s="39">
        <v>350</v>
      </c>
      <c r="R102" s="36">
        <v>0.75</v>
      </c>
      <c r="S102" s="39">
        <v>1600</v>
      </c>
      <c r="T102" s="35">
        <v>0</v>
      </c>
      <c r="U102" s="39">
        <v>200</v>
      </c>
      <c r="V102" s="39">
        <v>100</v>
      </c>
      <c r="W102" s="42">
        <v>20</v>
      </c>
      <c r="X102" s="42">
        <v>3600</v>
      </c>
      <c r="Y102" s="42">
        <v>0</v>
      </c>
      <c r="Z102" s="42">
        <v>0</v>
      </c>
    </row>
    <row r="103" spans="1:26" ht="15" x14ac:dyDescent="0.15">
      <c r="A103" s="52" t="s">
        <v>422</v>
      </c>
      <c r="B103" s="11" t="s">
        <v>382</v>
      </c>
      <c r="C103" s="12" t="s">
        <v>341</v>
      </c>
      <c r="F103" s="33">
        <v>500</v>
      </c>
      <c r="I103" s="33">
        <v>500</v>
      </c>
      <c r="J103" s="49">
        <v>0.1</v>
      </c>
      <c r="K103" s="46"/>
      <c r="M103">
        <v>1398305511.4746099</v>
      </c>
      <c r="N103">
        <v>11328.2746429443</v>
      </c>
      <c r="O103">
        <v>2796611022.9492197</v>
      </c>
      <c r="P103" s="39">
        <v>30000</v>
      </c>
      <c r="Q103" s="39">
        <v>350</v>
      </c>
      <c r="R103" s="36">
        <v>0.75</v>
      </c>
      <c r="S103" s="39">
        <v>1600</v>
      </c>
      <c r="T103" s="35">
        <v>0</v>
      </c>
      <c r="U103" s="39">
        <v>200</v>
      </c>
      <c r="V103" s="39">
        <v>100</v>
      </c>
      <c r="W103" s="42">
        <v>20</v>
      </c>
      <c r="X103" s="42">
        <v>3600</v>
      </c>
      <c r="Y103" s="42">
        <v>0</v>
      </c>
      <c r="Z103" s="42">
        <v>0</v>
      </c>
    </row>
    <row r="104" spans="1:26" ht="15" x14ac:dyDescent="0.15">
      <c r="A104" s="52" t="s">
        <v>416</v>
      </c>
      <c r="B104" s="11" t="s">
        <v>383</v>
      </c>
      <c r="C104" s="12" t="s">
        <v>341</v>
      </c>
      <c r="F104" s="33">
        <v>500</v>
      </c>
      <c r="I104" s="33">
        <v>500</v>
      </c>
      <c r="J104" s="49">
        <v>0.1</v>
      </c>
      <c r="K104" s="46"/>
      <c r="M104">
        <v>1398305511.4746099</v>
      </c>
      <c r="N104">
        <v>11329.2746429443</v>
      </c>
      <c r="O104">
        <v>2796611022.9492197</v>
      </c>
      <c r="P104" s="39">
        <v>30000</v>
      </c>
      <c r="Q104" s="39">
        <v>350</v>
      </c>
      <c r="R104" s="36">
        <v>0.75</v>
      </c>
      <c r="S104" s="39">
        <v>1600</v>
      </c>
      <c r="T104" s="35">
        <v>0</v>
      </c>
      <c r="U104" s="39">
        <v>200</v>
      </c>
      <c r="V104" s="39">
        <v>100</v>
      </c>
      <c r="W104" s="42">
        <v>20</v>
      </c>
      <c r="X104" s="42">
        <v>3600</v>
      </c>
      <c r="Y104" s="42">
        <v>0</v>
      </c>
      <c r="Z104" s="42">
        <v>0</v>
      </c>
    </row>
    <row r="105" spans="1:26" ht="15" x14ac:dyDescent="0.15">
      <c r="A105" s="52" t="s">
        <v>417</v>
      </c>
      <c r="B105" s="11" t="s">
        <v>384</v>
      </c>
      <c r="C105" s="12" t="s">
        <v>341</v>
      </c>
      <c r="F105" s="33">
        <v>500</v>
      </c>
      <c r="I105" s="33">
        <v>500</v>
      </c>
      <c r="J105" s="49">
        <v>0.1</v>
      </c>
      <c r="K105" s="46"/>
      <c r="M105">
        <v>1398305511.4746099</v>
      </c>
      <c r="N105">
        <v>11330.2746429443</v>
      </c>
      <c r="O105">
        <v>2796611022.9492197</v>
      </c>
      <c r="P105" s="39">
        <v>30000</v>
      </c>
      <c r="Q105" s="39">
        <v>350</v>
      </c>
      <c r="R105" s="36">
        <v>0.75</v>
      </c>
      <c r="S105" s="39">
        <v>1600</v>
      </c>
      <c r="T105" s="35">
        <v>0</v>
      </c>
      <c r="U105" s="39">
        <v>200</v>
      </c>
      <c r="V105" s="39">
        <v>100</v>
      </c>
      <c r="W105" s="42">
        <v>20</v>
      </c>
      <c r="X105" s="42">
        <v>3600</v>
      </c>
      <c r="Y105" s="42">
        <v>0</v>
      </c>
      <c r="Z105" s="42">
        <v>0</v>
      </c>
    </row>
    <row r="106" spans="1:26" ht="15" x14ac:dyDescent="0.15">
      <c r="A106" s="52" t="s">
        <v>418</v>
      </c>
      <c r="B106" s="11" t="s">
        <v>385</v>
      </c>
      <c r="C106" s="12" t="s">
        <v>341</v>
      </c>
      <c r="F106" s="33">
        <v>500</v>
      </c>
      <c r="I106" s="33">
        <v>500</v>
      </c>
      <c r="J106" s="49">
        <v>0.1</v>
      </c>
      <c r="K106" s="46"/>
      <c r="L106" s="6"/>
      <c r="M106">
        <v>1398305511.4746099</v>
      </c>
      <c r="N106">
        <v>11331.2746429443</v>
      </c>
      <c r="O106">
        <v>2796611022.9492197</v>
      </c>
      <c r="P106" s="39">
        <v>30000</v>
      </c>
      <c r="Q106" s="39">
        <v>350</v>
      </c>
      <c r="R106" s="36">
        <v>0.75</v>
      </c>
      <c r="S106" s="39">
        <v>1600</v>
      </c>
      <c r="T106" s="35">
        <v>0</v>
      </c>
      <c r="U106" s="39">
        <v>200</v>
      </c>
      <c r="V106" s="39">
        <v>100</v>
      </c>
      <c r="W106" s="42">
        <v>20</v>
      </c>
      <c r="X106" s="42">
        <v>3600</v>
      </c>
      <c r="Y106" s="42">
        <v>0</v>
      </c>
      <c r="Z106" s="42">
        <v>0</v>
      </c>
    </row>
    <row r="107" spans="1:26" ht="15" x14ac:dyDescent="0.15">
      <c r="A107" s="52" t="s">
        <v>423</v>
      </c>
      <c r="B107" s="11" t="s">
        <v>386</v>
      </c>
      <c r="C107" s="12" t="s">
        <v>341</v>
      </c>
      <c r="F107" s="33">
        <v>500</v>
      </c>
      <c r="I107" s="33">
        <v>500</v>
      </c>
      <c r="J107" s="49">
        <v>0.1</v>
      </c>
      <c r="K107" s="46"/>
      <c r="L107" s="6"/>
      <c r="M107">
        <v>1398305511.4746099</v>
      </c>
      <c r="N107">
        <v>11332.2746429443</v>
      </c>
      <c r="O107">
        <v>2796611022.9492197</v>
      </c>
      <c r="P107" s="39">
        <v>30000</v>
      </c>
      <c r="Q107" s="39">
        <v>350</v>
      </c>
      <c r="R107" s="36">
        <v>0.75</v>
      </c>
      <c r="S107" s="39">
        <v>1600</v>
      </c>
      <c r="T107" s="35">
        <v>0</v>
      </c>
      <c r="U107" s="39">
        <v>200</v>
      </c>
      <c r="V107" s="39">
        <v>100</v>
      </c>
      <c r="W107" s="42">
        <v>20</v>
      </c>
      <c r="X107" s="42">
        <v>3600</v>
      </c>
      <c r="Y107" s="42">
        <v>0</v>
      </c>
      <c r="Z107" s="42">
        <v>0</v>
      </c>
    </row>
    <row r="108" spans="1:26" ht="15" x14ac:dyDescent="0.15">
      <c r="A108" s="52" t="s">
        <v>424</v>
      </c>
      <c r="B108" s="11" t="s">
        <v>387</v>
      </c>
      <c r="C108" s="12" t="s">
        <v>341</v>
      </c>
      <c r="F108" s="33">
        <v>500</v>
      </c>
      <c r="I108" s="33">
        <v>500</v>
      </c>
      <c r="J108" s="49">
        <v>0.1</v>
      </c>
      <c r="K108" s="46"/>
      <c r="M108">
        <v>1398305511.4746099</v>
      </c>
      <c r="N108">
        <v>11333.2746429443</v>
      </c>
      <c r="O108">
        <v>2796611022.9492197</v>
      </c>
      <c r="P108" s="39">
        <v>30000</v>
      </c>
      <c r="Q108" s="39">
        <v>350</v>
      </c>
      <c r="R108" s="36">
        <v>0.75</v>
      </c>
      <c r="S108" s="39">
        <v>1600</v>
      </c>
      <c r="T108" s="35">
        <v>0</v>
      </c>
      <c r="U108" s="39">
        <v>200</v>
      </c>
      <c r="V108" s="39">
        <v>100</v>
      </c>
      <c r="W108" s="42">
        <v>20</v>
      </c>
      <c r="X108" s="42">
        <v>3600</v>
      </c>
      <c r="Y108" s="42">
        <v>0</v>
      </c>
      <c r="Z108" s="42">
        <v>0</v>
      </c>
    </row>
    <row r="109" spans="1:26" ht="15" x14ac:dyDescent="0.15">
      <c r="A109" s="16" t="s">
        <v>394</v>
      </c>
      <c r="B109" s="11" t="s">
        <v>395</v>
      </c>
      <c r="C109" s="12" t="s">
        <v>341</v>
      </c>
      <c r="F109" s="33">
        <v>500</v>
      </c>
      <c r="I109" s="33">
        <v>500</v>
      </c>
      <c r="J109" s="49">
        <v>0.1</v>
      </c>
      <c r="K109" s="46"/>
      <c r="M109">
        <f>M88*1.05</f>
        <v>3389867994.7764874</v>
      </c>
      <c r="N109">
        <f t="shared" ref="N109:O109" si="90">N88*1.05</f>
        <v>29830.838354033076</v>
      </c>
      <c r="O109">
        <f t="shared" si="90"/>
        <v>6779735989.5529747</v>
      </c>
      <c r="P109" s="39">
        <v>30000</v>
      </c>
      <c r="Q109" s="39">
        <v>350</v>
      </c>
      <c r="R109" s="36">
        <v>0.75</v>
      </c>
      <c r="S109" s="39">
        <v>1600</v>
      </c>
      <c r="T109" s="35">
        <v>0</v>
      </c>
      <c r="U109" s="39">
        <v>200</v>
      </c>
      <c r="V109" s="39">
        <v>100</v>
      </c>
      <c r="W109" s="42">
        <v>20</v>
      </c>
      <c r="X109" s="42">
        <v>5760</v>
      </c>
      <c r="Y109" s="39">
        <v>20</v>
      </c>
      <c r="Z109" s="42">
        <v>500</v>
      </c>
    </row>
    <row r="110" spans="1:26" ht="15" x14ac:dyDescent="0.15">
      <c r="A110" s="16" t="s">
        <v>397</v>
      </c>
      <c r="B110" s="11" t="s">
        <v>398</v>
      </c>
      <c r="C110" s="12" t="s">
        <v>329</v>
      </c>
      <c r="F110" s="33">
        <v>500</v>
      </c>
      <c r="I110" s="33">
        <v>500</v>
      </c>
      <c r="J110" s="49">
        <v>0.1</v>
      </c>
      <c r="K110" s="46"/>
      <c r="M110" s="39">
        <v>200000</v>
      </c>
      <c r="N110" s="39">
        <v>18</v>
      </c>
      <c r="O110" s="39">
        <v>1000000</v>
      </c>
      <c r="P110" s="39">
        <v>1000</v>
      </c>
      <c r="Q110" s="39">
        <v>350</v>
      </c>
      <c r="R110" s="40">
        <v>1</v>
      </c>
      <c r="S110" s="39">
        <v>800</v>
      </c>
      <c r="T110" s="35">
        <v>0</v>
      </c>
      <c r="U110" s="39">
        <v>200</v>
      </c>
      <c r="V110" s="39">
        <v>50</v>
      </c>
      <c r="W110" s="42">
        <v>20</v>
      </c>
      <c r="X110" s="42">
        <v>45</v>
      </c>
      <c r="Y110" s="42">
        <v>0</v>
      </c>
      <c r="Z110" s="42">
        <v>0</v>
      </c>
    </row>
    <row r="111" spans="1:26" ht="15" x14ac:dyDescent="0.15">
      <c r="A111" s="50" t="s">
        <v>401</v>
      </c>
      <c r="B111" s="11" t="s">
        <v>405</v>
      </c>
      <c r="C111" s="12" t="s">
        <v>341</v>
      </c>
      <c r="F111" s="33">
        <v>500</v>
      </c>
      <c r="I111" s="33">
        <v>500</v>
      </c>
      <c r="J111" s="49">
        <v>0.1</v>
      </c>
      <c r="K111" s="46"/>
      <c r="M111">
        <f>M74*1.3</f>
        <v>2702788079.0625019</v>
      </c>
      <c r="N111">
        <f>N74*1.3</f>
        <v>23784.535095750009</v>
      </c>
      <c r="O111">
        <f>O74*1.3</f>
        <v>10811152316.250008</v>
      </c>
      <c r="P111" s="53">
        <f t="shared" ref="P111:Y111" si="91">P74</f>
        <v>30000</v>
      </c>
      <c r="Q111" s="53">
        <f t="shared" si="91"/>
        <v>420</v>
      </c>
      <c r="R111" s="53">
        <f t="shared" si="91"/>
        <v>0.75</v>
      </c>
      <c r="S111" s="53">
        <f t="shared" si="91"/>
        <v>24285.381119999998</v>
      </c>
      <c r="T111" s="35">
        <v>0</v>
      </c>
      <c r="U111" s="53">
        <f t="shared" si="91"/>
        <v>200</v>
      </c>
      <c r="V111" s="53">
        <f t="shared" si="91"/>
        <v>500</v>
      </c>
      <c r="W111" s="53">
        <v>20</v>
      </c>
      <c r="X111" s="53">
        <v>4500</v>
      </c>
      <c r="Y111" s="53">
        <f t="shared" si="91"/>
        <v>20</v>
      </c>
      <c r="Z111" s="42">
        <v>500</v>
      </c>
    </row>
    <row r="112" spans="1:26" ht="15" x14ac:dyDescent="0.15">
      <c r="A112" s="50" t="s">
        <v>402</v>
      </c>
      <c r="B112" s="11" t="s">
        <v>406</v>
      </c>
      <c r="C112" s="12" t="s">
        <v>341</v>
      </c>
      <c r="F112" s="33">
        <v>500</v>
      </c>
      <c r="I112" s="33">
        <v>500</v>
      </c>
      <c r="J112" s="49">
        <v>0.1</v>
      </c>
      <c r="K112" s="46"/>
      <c r="M112">
        <f>M111*1.02</f>
        <v>2756843840.6437521</v>
      </c>
      <c r="N112">
        <f t="shared" ref="N112:O112" si="92">N111*1.02</f>
        <v>24260.225797665011</v>
      </c>
      <c r="O112">
        <f t="shared" si="92"/>
        <v>11027375362.575008</v>
      </c>
      <c r="P112" s="53">
        <f t="shared" ref="P112:Y114" si="93">P111</f>
        <v>30000</v>
      </c>
      <c r="Q112" s="53">
        <f t="shared" si="93"/>
        <v>420</v>
      </c>
      <c r="R112" s="53">
        <f t="shared" si="93"/>
        <v>0.75</v>
      </c>
      <c r="S112" s="53">
        <f t="shared" si="93"/>
        <v>24285.381119999998</v>
      </c>
      <c r="T112" s="35">
        <v>0</v>
      </c>
      <c r="U112" s="53">
        <f t="shared" si="93"/>
        <v>200</v>
      </c>
      <c r="V112" s="53">
        <f t="shared" si="93"/>
        <v>500</v>
      </c>
      <c r="W112" s="53">
        <v>20</v>
      </c>
      <c r="X112" s="53">
        <v>4500</v>
      </c>
      <c r="Y112" s="53">
        <f t="shared" si="93"/>
        <v>20</v>
      </c>
      <c r="Z112" s="42">
        <v>500</v>
      </c>
    </row>
    <row r="113" spans="1:26" ht="15" x14ac:dyDescent="0.15">
      <c r="A113" s="50" t="s">
        <v>403</v>
      </c>
      <c r="B113" s="11" t="s">
        <v>407</v>
      </c>
      <c r="C113" s="12" t="s">
        <v>341</v>
      </c>
      <c r="F113" s="33">
        <v>500</v>
      </c>
      <c r="I113" s="33">
        <v>500</v>
      </c>
      <c r="J113" s="49">
        <v>0.1</v>
      </c>
      <c r="K113" s="46"/>
      <c r="M113">
        <f t="shared" ref="M113:M114" si="94">M112*1.02</f>
        <v>2811980717.4566274</v>
      </c>
      <c r="N113">
        <f t="shared" ref="N113:N114" si="95">N112*1.02</f>
        <v>24745.430313618312</v>
      </c>
      <c r="O113">
        <f t="shared" ref="O113:O114" si="96">O112*1.02</f>
        <v>11247922869.826509</v>
      </c>
      <c r="P113" s="53">
        <f t="shared" si="93"/>
        <v>30000</v>
      </c>
      <c r="Q113" s="53">
        <f t="shared" si="93"/>
        <v>420</v>
      </c>
      <c r="R113" s="53">
        <f t="shared" si="93"/>
        <v>0.75</v>
      </c>
      <c r="S113" s="53">
        <f t="shared" si="93"/>
        <v>24285.381119999998</v>
      </c>
      <c r="T113" s="35">
        <v>0</v>
      </c>
      <c r="U113" s="53">
        <f t="shared" si="93"/>
        <v>200</v>
      </c>
      <c r="V113" s="53">
        <f t="shared" si="93"/>
        <v>500</v>
      </c>
      <c r="W113" s="53">
        <v>20</v>
      </c>
      <c r="X113" s="53">
        <v>4500</v>
      </c>
      <c r="Y113" s="53">
        <f t="shared" si="93"/>
        <v>20</v>
      </c>
      <c r="Z113" s="42">
        <v>500</v>
      </c>
    </row>
    <row r="114" spans="1:26" ht="15" x14ac:dyDescent="0.15">
      <c r="A114" s="50" t="s">
        <v>404</v>
      </c>
      <c r="B114" s="11" t="s">
        <v>408</v>
      </c>
      <c r="C114" s="12" t="s">
        <v>341</v>
      </c>
      <c r="F114" s="33">
        <v>500</v>
      </c>
      <c r="I114" s="33">
        <v>500</v>
      </c>
      <c r="J114" s="49">
        <v>0.1</v>
      </c>
      <c r="K114" s="46"/>
      <c r="M114">
        <f t="shared" si="94"/>
        <v>2868220331.8057599</v>
      </c>
      <c r="N114">
        <f t="shared" si="95"/>
        <v>25240.338919890677</v>
      </c>
      <c r="O114">
        <f t="shared" si="96"/>
        <v>11472881327.22304</v>
      </c>
      <c r="P114" s="53">
        <f t="shared" si="93"/>
        <v>30000</v>
      </c>
      <c r="Q114" s="53">
        <f t="shared" si="93"/>
        <v>420</v>
      </c>
      <c r="R114" s="53">
        <f t="shared" si="93"/>
        <v>0.75</v>
      </c>
      <c r="S114" s="53">
        <f t="shared" si="93"/>
        <v>24285.381119999998</v>
      </c>
      <c r="T114" s="35">
        <v>0</v>
      </c>
      <c r="U114" s="53">
        <f t="shared" si="93"/>
        <v>200</v>
      </c>
      <c r="V114" s="53">
        <f t="shared" si="93"/>
        <v>500</v>
      </c>
      <c r="W114" s="53">
        <v>20</v>
      </c>
      <c r="X114" s="53">
        <v>4500</v>
      </c>
      <c r="Y114" s="53">
        <f t="shared" si="93"/>
        <v>20</v>
      </c>
      <c r="Z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  <ignoredErrors>
    <ignoredError sqref="N37:N38 N33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2019-07-17T06:07:53Z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