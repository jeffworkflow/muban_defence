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2C6ED50-26B7-48B3-BD59-695D1E12FC85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20" i="29" l="1"/>
  <c r="O120" i="29"/>
  <c r="M120" i="29"/>
  <c r="N119" i="29" l="1"/>
  <c r="O119" i="29"/>
  <c r="M119" i="29"/>
  <c r="X118" i="29" l="1"/>
  <c r="N118" i="29"/>
  <c r="O118" i="29"/>
  <c r="M118" i="29"/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<sst xmlns="http://schemas.openxmlformats.org/spreadsheetml/2006/main" count="908" uniqueCount="462">
  <si>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</si>
  <si>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</si>
  <si>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</si>
  <si>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</si>
  <si>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</si>
  <si>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</si>
  <si>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</si>
  <si>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</si>
  <si>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</si>
  <si>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</si>
  <si>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</si>
  <si>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</si>
  <si>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</si>
  <si>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</si>
  <si>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</si>
  <si>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</si>
  <si>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</si>
  <si>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</si>
  <si>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</si>
  <si>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</si>
  <si>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</si>
  <si>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</si>
  <si>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</si>
  <si>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</si>
  <si>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</si>
  <si>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</si>
  <si>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</si>
  <si>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</si>
  <si>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</si>
  <si>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</si>
  <si>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</si>
  <si>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</si>
  <si>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</si>
  <si>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</si>
  <si>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</si>
  <si>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</si>
  <si>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</si>
  <si>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</si>
  <si>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</si>
  <si>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</si>
  <si>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</si>
  <si>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</si>
  <si>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</si>
  <si>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</si>
  <si>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</si>
  <si>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</si>
  <si>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</si>
  <si>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</si>
  <si>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</si>
  <si>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</si>
  <si>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</si>
  <si>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</si>
  <si>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</si>
  <si>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</si>
  <si>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</si>
  <si>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</si>
  <si>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</si>
  <si>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</si>
  <si>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</si>
  <si>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</si>
  <si>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</si>
  <si>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</si>
  <si>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</si>
  <si>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</si>
  <si>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</si>
  <si>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</si>
  <si>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</si>
  <si>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</si>
  <si>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</si>
  <si>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</si>
  <si>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</si>
  <si>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</si>
  <si>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</si>
  <si>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</si>
  <si>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</si>
  <si>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</si>
  <si>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</si>
  <si>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</si>
  <si>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</si>
  <si>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</si>
  <si>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</si>
  <si>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</si>
  <si>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</si>
  <si>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</si>
  <si>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</si>
  <si>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</si>
  <si>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</si>
  <si>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</si>
  <si>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</si>
  <si>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</si>
  <si>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</si>
  <si>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</si>
  <si>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</si>
  <si>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</si>
  <si>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</si>
  <si>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</si>
  <si>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</si>
  <si>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</si>
  <si>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</si>
  <si>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</si>
  <si>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</si>
  <si>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</si>
  <si>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</si>
  <si>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</si>
  <si>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</si>
  <si>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</si>
  <si>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</si>
  <si>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</si>
  <si>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</si>
  <si>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</si>
  <si>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</si>
  <si>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</si>
  <si>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</si>
  <si>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</si>
  <si>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</si>
  <si>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</si>
  <si>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</si>
  <si>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</si>
  <si>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</si>
  <si>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</si>
  <si>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</si>
  <si>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</si>
  <si>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</si>
  <si>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</si>
  <si>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</si>
  <si>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</si>
  <si>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</si>
  <si>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</si>
  <si>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</si>
  <si>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</si>
  <si>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</si>
  <si>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</si>
  <si>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</si>
  <si>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</si>
  <si>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</si>
  <si>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</si>
  <si>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</si>
  <si>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</si>
  <si>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</si>
  <si>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</si>
  <si>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</si>
  <si>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</si>
  <si>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</si>
  <si>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</si>
  <si>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</si>
  <si>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</si>
  <si>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</si>
  <si>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</si>
  <si>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</si>
  <si>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</si>
  <si>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</si>
  <si>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</si>
  <si>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</si>
  <si>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</si>
  <si>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</si>
  <si>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</si>
  <si>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</si>
  <si>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</si>
  <si>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</si>
  <si>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</si>
  <si>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</si>
  <si>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</si>
  <si>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</si>
  <si>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</si>
  <si>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</si>
  <si>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</si>
  <si>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</si>
  <si>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</si>
  <si>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</si>
  <si>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</si>
  <si>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</si>
  <si>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</si>
  <si>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</si>
  <si>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</si>
  <si>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</si>
  <si>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</si>
  <si>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</si>
  <si>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</si>
  <si>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</si>
  <si>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</si>
  <si>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</si>
  <si>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</si>
  <si>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</si>
  <si>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</si>
  <si>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</si>
  <si>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</si>
  <si>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</si>
  <si>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</si>
  <si>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</si>
  <si>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</si>
  <si>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</si>
  <si>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</si>
  <si>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</si>
  <si>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</si>
  <si>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</si>
  <si>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</si>
  <si>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</si>
  <si>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</si>
  <si>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</si>
  <si>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</si>
  <si>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</si>
  <si>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</si>
  <si>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</si>
  <si>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</si>
  <si>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</si>
  <si>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</si>
  <si>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</si>
  <si>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</si>
  <si>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</si>
  <si>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</si>
  <si>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</si>
  <si>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</si>
  <si>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</si>
  <si>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</si>
  <si>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</si>
  <si>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</si>
  <si>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</si>
  <si>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</si>
  <si>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</si>
  <si>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</si>
  <si>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</si>
  <si>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</si>
  <si>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</si>
  <si>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</si>
  <si>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</si>
  <si>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</si>
  <si>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</si>
  <si>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</si>
  <si>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</si>
  <si>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</si>
  <si>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</si>
  <si>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</si>
  <si>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</si>
  <si>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</si>
  <si>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</si>
  <si>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</si>
  <si>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</si>
  <si>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</si>
  <si>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</si>
  <si>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</si>
  <si>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</si>
  <si>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</si>
  <si>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</si>
  <si>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</si>
  <si>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</si>
  <si>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</si>
  <si>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</si>
  <si>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</si>
  <si>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</si>
  <si>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</si>
  <si>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</si>
  <si>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</si>
  <si>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</si>
  <si>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</si>
  <si>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</si>
  <si>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</si>
  <si>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</si>
  <si>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</si>
  <si>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</si>
  <si>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</si>
  <si>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</si>
  <si>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</si>
  <si>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</si>
  <si>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</si>
  <si>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</si>
  <si>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</si>
  <si>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</si>
  <si>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</si>
  <si>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</si>
  <si>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</si>
  <si>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</si>
  <si>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</si>
  <si>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</si>
  <si>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</si>
  <si>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</si>
  <si>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</si>
  <si>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</si>
  <si>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</si>
  <si>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</si>
  <si>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</si>
  <si>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</si>
  <si>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</si>
  <si>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</si>
  <si>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</si>
  <si>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</si>
  <si>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</si>
  <si>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</si>
  <si>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</si>
  <si>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</si>
  <si>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</si>
  <si>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</si>
  <si>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</si>
  <si>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</si>
  <si>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</si>
  <si>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</si>
  <si>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</si>
  <si>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</si>
  <si>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</si>
  <si>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</si>
  <si>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</si>
  <si>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</si>
  <si>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</si>
  <si>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</si>
  <si>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</si>
  <si>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</si>
  <si>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</si>
  <si>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</si>
  <si>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</si>
  <si>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</si>
  <si>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</si>
  <si>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</si>
  <si>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</si>
  <si>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</si>
  <si>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</si>
  <si>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</si>
  <si>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</si>
  <si>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</si>
  <si>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</si>
  <si>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</si>
  <si>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</si>
  <si>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</si>
  <si>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</si>
  <si>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</si>
  <si>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</si>
  <si>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</si>
  <si>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</si>
  <si>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</si>
  <si>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</si>
  <si>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</si>
  <si>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</si>
  <si>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</si>
  <si>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</si>
  <si>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</si>
  <si>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</si>
  <si>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</si>
  <si>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</si>
  <si>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</si>
  <si>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</si>
  <si>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</si>
  <si>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</si>
  <si>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</si>
  <si>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</si>
  <si>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</si>
  <si>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</si>
  <si>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</si>
  <si>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</si>
  <si>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</si>
  <si>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</si>
  <si>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</si>
  <si>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</si>
  <si>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</si>
  <si>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</si>
  <si>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</si>
  <si>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</si>
  <si>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</si>
  <si>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</si>
  <si>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</si>
  <si>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</si>
  <si>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</si>
  <si>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</si>
  <si>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</si>
  <si>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</si>
  <si>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</si>
  <si>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</si>
  <si>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</si>
  <si>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</si>
  <si>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</si>
  <si>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</si>
  <si>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</si>
  <si>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</si>
  <si>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</si>
  <si>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</si>
  <si>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</si>
  <si>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</si>
  <si>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</si>
  <si>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</si>
  <si>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</si>
  <si>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</si>
  <si>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</si>
  <si>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</si>
  <si>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</si>
  <si>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</si>
  <si>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</si>
  <si>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</si>
  <si>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</si>
  <si>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</si>
  <si>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</si>
  <si>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</si>
  <si>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</si>
  <si>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</si>
  <si>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</si>
  <si>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</si>
  <si>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</si>
  <si>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</si>
  <si>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</si>
  <si>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</si>
  <si>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</si>
  <si>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</si>
  <si>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</si>
  <si>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</si>
  <si>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</si>
  <si>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</si>
  <si>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</si>
  <si>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</si>
  <si>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</si>
  <si>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</si>
  <si>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</si>
  <si>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</si>
  <si>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</si>
  <si>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</si>
  <si>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</si>
  <si>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</si>
  <si>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</si>
  <si>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</si>
  <si>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</si>
  <si>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</si>
  <si>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</si>
  <si>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</si>
  <si>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</si>
  <si>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</si>
  <si>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</si>
  <si>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</si>
  <si>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</si>
  <si>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</si>
  <si>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</si>
  <si>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</si>
  <si>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</si>
  <si>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</si>
  <si>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</si>
  <si>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</si>
  <si>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</si>
  <si>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</si>
  <si>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</si>
  <si>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</si>
  <si>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</si>
  <si>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</si>
  <si>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</si>
  <si>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</si>
  <si>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</si>
  <si>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</si>
  <si>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</si>
  <si>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</si>
  <si>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</si>
  <si>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</si>
  <si>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</si>
  <si>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</si>
  <si>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</si>
  <si>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</si>
  <si>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</si>
  <si>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</si>
  <si>
    <t>boss</t>
  </si>
  <si>
    <t>u115</t>
  </si>
  <si>
    <r>
      <t>防具boss1</t>
    </r>
    <r>
      <rPr>
        <sz val="11"/>
        <color theme="1"/>
        <rFont val="宋体"/>
        <family val="3"/>
        <charset val="134"/>
        <scheme val="minor"/>
      </rPr>
      <t>1</t>
    </r>
    <phoneticPr fontId="6" type="noConversion"/>
  </si>
  <si>
    <t>boneguard.mdx</t>
    <phoneticPr fontId="6" type="noConversion"/>
  </si>
  <si>
    <t>u116</t>
  </si>
  <si>
    <t>武器boss11</t>
  </si>
  <si>
    <t>武器boss11</t>
    <phoneticPr fontId="6" type="noConversion"/>
  </si>
  <si>
    <t>奶牛</t>
    <phoneticPr fontId="6" type="noConversion"/>
  </si>
  <si>
    <t>u117</t>
  </si>
  <si>
    <t>小怪</t>
  </si>
  <si>
    <t>模拟死亡</t>
  </si>
  <si>
    <t>wowcow2black.mdx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</si>
</sst>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11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0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31" sqref="G31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345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325</v>
      </c>
      <c r="C4" s="28" t="s">
        <v>322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343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342</v>
      </c>
      <c r="B34" s="11" t="s">
        <v>136</v>
      </c>
      <c r="C34" s="27" t="s">
        <v>348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408</v>
      </c>
      <c r="B43" s="11" t="s">
        <v>344</v>
      </c>
      <c r="C43" s="27" t="s">
        <v>324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409</v>
      </c>
      <c r="B44" s="11" t="s">
        <v>146</v>
      </c>
      <c r="C44" s="27" t="s">
        <v>324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410</v>
      </c>
      <c r="B45" s="11" t="s">
        <v>147</v>
      </c>
      <c r="C45" s="27" t="s">
        <v>324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430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431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349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350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351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45</v>
      </c>
      <c r="D62" s="23" t="s">
        <v>318</v>
      </c>
      <c r="G62" s="3">
        <v>2.5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23" t="s">
        <v>319</v>
      </c>
      <c r="G63" s="3">
        <v>2.5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349</v>
      </c>
      <c r="D64" s="3" t="s">
        <v>434</v>
      </c>
      <c r="G64" s="3">
        <v>1.6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307</v>
      </c>
      <c r="F65" s="2"/>
      <c r="G65" s="3">
        <v>0.5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309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310</v>
      </c>
      <c r="F76" s="2"/>
      <c r="G76" s="3">
        <v>1.7</v>
      </c>
      <c r="I76" s="3">
        <v>60</v>
      </c>
    </row>
    <row r="77" spans="1:9" ht="15" x14ac:dyDescent="0.15">
      <c r="A77" s="27" t="s">
        <v>433</v>
      </c>
      <c r="B77" s="11" t="s">
        <v>179</v>
      </c>
      <c r="C77" s="27" t="s">
        <v>349</v>
      </c>
      <c r="D77" s="3" t="s">
        <v>432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320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355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311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312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429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313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354</v>
      </c>
      <c r="D84" s="3" t="s">
        <v>434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314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316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315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441</v>
      </c>
      <c r="G88" s="3">
        <v>1.1000000000000001</v>
      </c>
      <c r="I88" s="3">
        <v>60</v>
      </c>
    </row>
    <row r="89" spans="1:9" ht="15" x14ac:dyDescent="0.15">
      <c r="A89" s="50" t="s">
        <v>356</v>
      </c>
      <c r="B89" s="11" t="s">
        <v>220</v>
      </c>
      <c r="C89" s="27" t="s">
        <v>399</v>
      </c>
      <c r="D89" s="3"/>
      <c r="G89" s="3">
        <v>1.1000000000000001</v>
      </c>
      <c r="I89" s="3">
        <v>10</v>
      </c>
    </row>
    <row r="90" spans="1:9" ht="15" x14ac:dyDescent="0.15">
      <c r="A90" s="50" t="s">
        <v>357</v>
      </c>
      <c r="B90" s="11" t="s">
        <v>221</v>
      </c>
      <c r="C90" s="27" t="s">
        <v>423</v>
      </c>
      <c r="D90" s="3"/>
      <c r="G90" s="3">
        <v>1</v>
      </c>
      <c r="I90" s="3">
        <v>10</v>
      </c>
    </row>
    <row r="91" spans="1:9" ht="15" x14ac:dyDescent="0.15">
      <c r="A91" s="50" t="s">
        <v>358</v>
      </c>
      <c r="B91" s="11" t="s">
        <v>222</v>
      </c>
      <c r="C91" s="27" t="s">
        <v>424</v>
      </c>
      <c r="D91" s="3"/>
      <c r="G91" s="3">
        <v>0.8</v>
      </c>
      <c r="I91" s="3">
        <v>10</v>
      </c>
    </row>
    <row r="92" spans="1:9" ht="15" x14ac:dyDescent="0.15">
      <c r="A92" s="50" t="s">
        <v>359</v>
      </c>
      <c r="B92" s="11" t="s">
        <v>223</v>
      </c>
      <c r="C92" s="27" t="s">
        <v>425</v>
      </c>
      <c r="D92" s="3"/>
      <c r="G92" s="3">
        <v>0.7</v>
      </c>
      <c r="I92" s="3">
        <v>10</v>
      </c>
    </row>
    <row r="93" spans="1:9" ht="15" x14ac:dyDescent="0.15">
      <c r="A93" s="50" t="s">
        <v>360</v>
      </c>
      <c r="B93" s="11" t="s">
        <v>224</v>
      </c>
      <c r="C93" s="27" t="s">
        <v>45</v>
      </c>
      <c r="D93" s="3" t="s">
        <v>317</v>
      </c>
      <c r="G93" s="3">
        <v>2.5</v>
      </c>
      <c r="I93" s="3">
        <v>60</v>
      </c>
    </row>
    <row r="94" spans="1:9" ht="15" x14ac:dyDescent="0.15">
      <c r="A94" s="50" t="s">
        <v>361</v>
      </c>
      <c r="B94" s="11" t="s">
        <v>225</v>
      </c>
      <c r="C94" s="27" t="s">
        <v>45</v>
      </c>
      <c r="D94" s="23" t="s">
        <v>318</v>
      </c>
      <c r="G94" s="3">
        <v>2.5</v>
      </c>
      <c r="I94" s="3">
        <v>60</v>
      </c>
    </row>
    <row r="95" spans="1:9" ht="15" x14ac:dyDescent="0.15">
      <c r="A95" s="50" t="s">
        <v>362</v>
      </c>
      <c r="B95" s="11" t="s">
        <v>226</v>
      </c>
      <c r="C95" s="27" t="s">
        <v>45</v>
      </c>
      <c r="D95" s="23" t="s">
        <v>319</v>
      </c>
      <c r="G95" s="3">
        <v>2.5</v>
      </c>
      <c r="I95" s="3">
        <v>60</v>
      </c>
    </row>
    <row r="96" spans="1:9" ht="15" x14ac:dyDescent="0.15">
      <c r="A96" s="50" t="s">
        <v>363</v>
      </c>
      <c r="B96" s="11" t="s">
        <v>227</v>
      </c>
      <c r="C96" s="27" t="s">
        <v>45</v>
      </c>
      <c r="D96" s="23" t="s">
        <v>320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321</v>
      </c>
      <c r="G97" s="3">
        <v>1</v>
      </c>
      <c r="I97" s="1">
        <v>10</v>
      </c>
    </row>
    <row r="98" spans="1:9" ht="15" x14ac:dyDescent="0.15">
      <c r="A98" s="3" t="s">
        <v>326</v>
      </c>
      <c r="B98" s="11" t="s">
        <v>327</v>
      </c>
      <c r="C98" s="27" t="s">
        <v>45</v>
      </c>
      <c r="D98" s="23" t="s">
        <v>352</v>
      </c>
      <c r="G98" s="3">
        <v>1.5</v>
      </c>
      <c r="I98" s="3">
        <v>60</v>
      </c>
    </row>
    <row r="99" spans="1:9" ht="15" x14ac:dyDescent="0.15">
      <c r="A99" s="51" t="s">
        <v>364</v>
      </c>
      <c r="B99" s="11" t="s">
        <v>365</v>
      </c>
      <c r="C99" s="26" t="s">
        <v>366</v>
      </c>
      <c r="D99" s="23"/>
      <c r="G99" s="3">
        <v>1.5</v>
      </c>
      <c r="I99" s="1">
        <v>10</v>
      </c>
    </row>
    <row r="100" spans="1:9" ht="15" x14ac:dyDescent="0.15">
      <c r="A100" s="52" t="s">
        <v>417</v>
      </c>
      <c r="B100" s="11" t="s">
        <v>378</v>
      </c>
      <c r="C100" s="50" t="s">
        <v>387</v>
      </c>
      <c r="G100" s="3">
        <v>1</v>
      </c>
      <c r="I100" s="3">
        <v>60</v>
      </c>
    </row>
    <row r="101" spans="1:9" ht="15" x14ac:dyDescent="0.15">
      <c r="A101" s="52" t="s">
        <v>418</v>
      </c>
      <c r="B101" s="11" t="s">
        <v>379</v>
      </c>
      <c r="C101" s="50" t="s">
        <v>388</v>
      </c>
      <c r="G101" s="3">
        <v>1</v>
      </c>
      <c r="I101" s="3">
        <v>60</v>
      </c>
    </row>
    <row r="102" spans="1:9" ht="15" x14ac:dyDescent="0.15">
      <c r="A102" s="52" t="s">
        <v>419</v>
      </c>
      <c r="B102" s="11" t="s">
        <v>380</v>
      </c>
      <c r="C102" s="50" t="s">
        <v>389</v>
      </c>
      <c r="G102" s="3">
        <v>1</v>
      </c>
      <c r="I102" s="3">
        <v>60</v>
      </c>
    </row>
    <row r="103" spans="1:9" ht="15" x14ac:dyDescent="0.15">
      <c r="A103" s="52" t="s">
        <v>420</v>
      </c>
      <c r="B103" s="11" t="s">
        <v>381</v>
      </c>
      <c r="C103" s="50" t="s">
        <v>390</v>
      </c>
      <c r="G103" s="3">
        <v>1</v>
      </c>
      <c r="I103" s="3">
        <v>60</v>
      </c>
    </row>
    <row r="104" spans="1:9" ht="15" x14ac:dyDescent="0.15">
      <c r="A104" s="52" t="s">
        <v>414</v>
      </c>
      <c r="B104" s="11" t="s">
        <v>382</v>
      </c>
      <c r="C104" s="27" t="s">
        <v>45</v>
      </c>
      <c r="D104" s="50" t="s">
        <v>391</v>
      </c>
      <c r="G104" s="3">
        <v>1</v>
      </c>
      <c r="I104" s="3">
        <v>60</v>
      </c>
    </row>
    <row r="105" spans="1:9" ht="15" x14ac:dyDescent="0.15">
      <c r="A105" s="52" t="s">
        <v>415</v>
      </c>
      <c r="B105" s="11" t="s">
        <v>383</v>
      </c>
      <c r="C105" s="27" t="s">
        <v>45</v>
      </c>
      <c r="D105" s="50" t="s">
        <v>411</v>
      </c>
      <c r="G105" s="3">
        <v>1</v>
      </c>
      <c r="I105" s="3">
        <v>60</v>
      </c>
    </row>
    <row r="106" spans="1:9" ht="15" x14ac:dyDescent="0.15">
      <c r="A106" s="52" t="s">
        <v>416</v>
      </c>
      <c r="B106" s="11" t="s">
        <v>384</v>
      </c>
      <c r="C106" s="27" t="s">
        <v>45</v>
      </c>
      <c r="D106" s="50" t="s">
        <v>392</v>
      </c>
      <c r="G106" s="3">
        <v>1</v>
      </c>
      <c r="I106" s="3">
        <v>60</v>
      </c>
    </row>
    <row r="107" spans="1:9" ht="15" x14ac:dyDescent="0.15">
      <c r="A107" s="52" t="s">
        <v>421</v>
      </c>
      <c r="B107" s="11" t="s">
        <v>385</v>
      </c>
      <c r="C107" s="27" t="s">
        <v>45</v>
      </c>
      <c r="D107" s="54" t="s">
        <v>412</v>
      </c>
      <c r="G107" s="3">
        <v>1</v>
      </c>
      <c r="I107" s="3">
        <v>60</v>
      </c>
    </row>
    <row r="108" spans="1:9" ht="15" x14ac:dyDescent="0.15">
      <c r="A108" s="52" t="s">
        <v>422</v>
      </c>
      <c r="B108" s="11" t="s">
        <v>386</v>
      </c>
      <c r="C108" s="27" t="s">
        <v>45</v>
      </c>
      <c r="D108" s="54" t="s">
        <v>440</v>
      </c>
      <c r="G108" s="3">
        <v>1</v>
      </c>
      <c r="I108" s="3">
        <v>60</v>
      </c>
    </row>
    <row r="109" spans="1:9" ht="15" x14ac:dyDescent="0.15">
      <c r="A109" s="32" t="s">
        <v>393</v>
      </c>
      <c r="B109" s="11" t="s">
        <v>394</v>
      </c>
      <c r="C109" s="27" t="s">
        <v>45</v>
      </c>
      <c r="D109" s="17" t="s">
        <v>395</v>
      </c>
      <c r="G109" s="3">
        <v>1.5</v>
      </c>
      <c r="I109" s="3">
        <v>60</v>
      </c>
    </row>
    <row r="110" spans="1:9" ht="15" x14ac:dyDescent="0.15">
      <c r="A110" s="16" t="s">
        <v>396</v>
      </c>
      <c r="B110" s="11" t="s">
        <v>397</v>
      </c>
      <c r="C110" s="27" t="s">
        <v>398</v>
      </c>
      <c r="G110" s="3">
        <v>1</v>
      </c>
      <c r="I110" s="1">
        <v>10</v>
      </c>
    </row>
    <row r="111" spans="1:9" ht="15" x14ac:dyDescent="0.15">
      <c r="A111" s="50" t="s">
        <v>400</v>
      </c>
      <c r="B111" s="11" t="s">
        <v>404</v>
      </c>
      <c r="C111" s="27" t="s">
        <v>45</v>
      </c>
      <c r="D111" s="17" t="s">
        <v>391</v>
      </c>
      <c r="G111" s="3">
        <v>1</v>
      </c>
      <c r="I111" s="3">
        <v>60</v>
      </c>
    </row>
    <row r="112" spans="1:9" ht="15" x14ac:dyDescent="0.15">
      <c r="A112" s="50" t="s">
        <v>401</v>
      </c>
      <c r="B112" s="11" t="s">
        <v>405</v>
      </c>
      <c r="C112" s="27" t="s">
        <v>45</v>
      </c>
      <c r="D112" s="2" t="s">
        <v>413</v>
      </c>
      <c r="G112" s="3">
        <v>1</v>
      </c>
      <c r="I112" s="3">
        <v>60</v>
      </c>
    </row>
    <row r="113" spans="1:9" ht="15" x14ac:dyDescent="0.15">
      <c r="A113" s="50" t="s">
        <v>402</v>
      </c>
      <c r="B113" s="11" t="s">
        <v>406</v>
      </c>
      <c r="C113" s="27" t="s">
        <v>45</v>
      </c>
      <c r="D113" s="2" t="s">
        <v>427</v>
      </c>
      <c r="G113" s="3">
        <v>0.62</v>
      </c>
      <c r="I113" s="3">
        <v>60</v>
      </c>
    </row>
    <row r="114" spans="1:9" ht="15" x14ac:dyDescent="0.15">
      <c r="A114" s="50" t="s">
        <v>403</v>
      </c>
      <c r="B114" s="11" t="s">
        <v>407</v>
      </c>
      <c r="C114" s="27" t="s">
        <v>45</v>
      </c>
      <c r="D114" s="2" t="s">
        <v>426</v>
      </c>
      <c r="G114" s="3">
        <v>1</v>
      </c>
      <c r="I114" s="3">
        <v>60</v>
      </c>
    </row>
    <row r="115" spans="1:9" ht="15" x14ac:dyDescent="0.15">
      <c r="A115" s="27" t="s">
        <v>445</v>
      </c>
      <c r="B115" s="11" t="s">
        <v>439</v>
      </c>
      <c r="C115" s="27" t="s">
        <v>45</v>
      </c>
      <c r="D115" s="3" t="s">
        <v>338</v>
      </c>
      <c r="G115" s="3">
        <v>1.1000000000000001</v>
      </c>
      <c r="I115" s="3">
        <v>60</v>
      </c>
    </row>
    <row r="116" spans="1:9" ht="15" x14ac:dyDescent="0.15">
      <c r="A116" s="52" t="s">
        <v>442</v>
      </c>
      <c r="B116" s="11" t="s">
        <v>443</v>
      </c>
      <c r="C116" s="50" t="s">
        <v>390</v>
      </c>
      <c r="D116" s="2" t="s">
        <v>446</v>
      </c>
      <c r="G116" s="3">
        <v>1</v>
      </c>
      <c r="I116" s="3">
        <v>60</v>
      </c>
    </row>
    <row r="117" spans="1:9" ht="15" x14ac:dyDescent="0.15">
      <c r="A117" s="52" t="s">
        <v>447</v>
      </c>
      <c r="B117" s="11" t="s">
        <v>448</v>
      </c>
      <c r="C117" s="50" t="s">
        <v>390</v>
      </c>
      <c r="D117" s="2" t="s">
        <v>449</v>
      </c>
      <c r="G117" s="3">
        <v>1</v>
      </c>
      <c r="I117" s="3">
        <v>60</v>
      </c>
    </row>
    <row r="118" spans="1:9" ht="15" x14ac:dyDescent="0.15">
      <c r="A118" s="6" t="s">
        <v>452</v>
      </c>
      <c r="B118" s="11" t="s">
        <v>451</v>
      </c>
      <c r="C118" s="27" t="s">
        <v>45</v>
      </c>
      <c r="D118" s="3" t="s">
        <v>308</v>
      </c>
      <c r="F118" s="2"/>
      <c r="G118" s="3">
        <v>0.5</v>
      </c>
      <c r="I118" s="3">
        <v>60</v>
      </c>
    </row>
    <row r="119" spans="1:9" ht="15" x14ac:dyDescent="0.15">
      <c r="A119" s="24" t="s">
        <v>455</v>
      </c>
      <c r="B119" s="11" t="s">
        <v>454</v>
      </c>
      <c r="C119" s="27" t="s">
        <v>45</v>
      </c>
      <c r="D119" s="3" t="s">
        <v>453</v>
      </c>
      <c r="F119" s="2"/>
      <c r="G119" s="3">
        <v>1.8</v>
      </c>
      <c r="I119" s="3">
        <v>60</v>
      </c>
    </row>
    <row r="120" spans="1:9" ht="15" x14ac:dyDescent="0.15">
      <c r="A120" s="26" t="s">
        <v>457</v>
      </c>
      <c r="B120" s="11" t="s">
        <v>458</v>
      </c>
      <c r="C120" s="27" t="s">
        <v>45</v>
      </c>
      <c r="D120" s="2" t="s">
        <v>461</v>
      </c>
      <c r="G120" s="3">
        <v>1</v>
      </c>
      <c r="I120" s="3">
        <v>10</v>
      </c>
    </row>
  </sheetData>
  <phoneticPr fontId="6" type="noConversion"/>
  <conditionalFormatting sqref="A99">
    <cfRule type="duplicateValues" dxfId="10" priority="12"/>
  </conditionalFormatting>
  <conditionalFormatting sqref="D98">
    <cfRule type="duplicateValues" dxfId="9" priority="10"/>
  </conditionalFormatting>
  <conditionalFormatting sqref="D118 D115 D4:D50 D52:D61 D71:D77 D79:D87 D89:D97 D67:D69">
    <cfRule type="duplicateValues" dxfId="8" priority="16"/>
  </conditionalFormatting>
  <conditionalFormatting sqref="D78">
    <cfRule type="duplicateValues" dxfId="7" priority="9"/>
  </conditionalFormatting>
  <conditionalFormatting sqref="D64">
    <cfRule type="duplicateValues" dxfId="6" priority="8"/>
  </conditionalFormatting>
  <conditionalFormatting sqref="D119">
    <cfRule type="duplicateValues" dxfId="5" priority="7"/>
  </conditionalFormatting>
  <conditionalFormatting sqref="D65">
    <cfRule type="duplicateValues" dxfId="4" priority="4"/>
  </conditionalFormatting>
  <conditionalFormatting sqref="D63">
    <cfRule type="duplicateValues" dxfId="3" priority="3"/>
  </conditionalFormatting>
  <conditionalFormatting sqref="D62">
    <cfRule type="duplicateValues" dxfId="2" priority="2"/>
  </conditionalFormatting>
  <conditionalFormatting sqref="D99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20"/>
  <sheetViews>
    <sheetView zoomScaleNormal="100" workbookViewId="0">
      <pane ySplit="3" topLeftCell="A99" activePane="bottomLeft" state="frozen"/>
      <selection activeCell="D1" sqref="D1"/>
      <selection pane="bottomLeft" activeCell="F122" sqref="F122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335</v>
      </c>
      <c r="M1" s="12" t="s">
        <v>337</v>
      </c>
      <c r="N1" s="12" t="s">
        <v>337</v>
      </c>
      <c r="O1" s="12" t="s">
        <v>337</v>
      </c>
      <c r="P1" s="12" t="s">
        <v>337</v>
      </c>
      <c r="Q1" s="12" t="s">
        <v>337</v>
      </c>
      <c r="R1" s="12" t="s">
        <v>337</v>
      </c>
      <c r="S1" s="12" t="s">
        <v>337</v>
      </c>
      <c r="T1" s="12" t="s">
        <v>337</v>
      </c>
      <c r="U1" s="12" t="s">
        <v>337</v>
      </c>
      <c r="V1" s="12" t="s">
        <v>337</v>
      </c>
      <c r="W1" s="12" t="s">
        <v>337</v>
      </c>
      <c r="X1" s="12" t="s">
        <v>337</v>
      </c>
      <c r="Y1" s="12" t="s">
        <v>337</v>
      </c>
      <c r="Z1" s="12" t="s">
        <v>337</v>
      </c>
      <c r="AA1" s="6" t="s">
        <v>336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329</v>
      </c>
      <c r="H2" s="13" t="s">
        <v>330</v>
      </c>
      <c r="I2" s="12" t="s">
        <v>199</v>
      </c>
      <c r="J2" s="44" t="s">
        <v>200</v>
      </c>
      <c r="K2" s="46" t="s">
        <v>438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339</v>
      </c>
      <c r="D3" s="1" t="s">
        <v>217</v>
      </c>
      <c r="E3" s="20" t="s">
        <v>196</v>
      </c>
      <c r="F3" s="7" t="s">
        <v>187</v>
      </c>
      <c r="G3" s="8" t="s">
        <v>331</v>
      </c>
      <c r="H3" s="8" t="s">
        <v>332</v>
      </c>
      <c r="I3" s="7" t="s">
        <v>188</v>
      </c>
      <c r="J3" s="45" t="s">
        <v>353</v>
      </c>
      <c r="K3" s="44" t="s">
        <v>436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435</v>
      </c>
      <c r="U3" s="8" t="s">
        <v>201</v>
      </c>
      <c r="V3" s="8" t="s">
        <v>229</v>
      </c>
      <c r="W3" s="38" t="s">
        <v>346</v>
      </c>
      <c r="X3" s="38" t="s">
        <v>347</v>
      </c>
      <c r="Y3" s="38" t="s">
        <v>333</v>
      </c>
      <c r="Z3" s="38" t="s">
        <v>334</v>
      </c>
    </row>
    <row r="4" spans="1:27" ht="15" x14ac:dyDescent="0.15">
      <c r="A4" s="27" t="s">
        <v>36</v>
      </c>
      <c r="B4" s="11" t="s">
        <v>325</v>
      </c>
      <c r="C4" s="12" t="s">
        <v>328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340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437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437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437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437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437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437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437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328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437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375</v>
      </c>
      <c r="B43" s="11" t="s">
        <v>145</v>
      </c>
      <c r="C43" s="12" t="s">
        <v>328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437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376</v>
      </c>
      <c r="B44" s="11" t="s">
        <v>146</v>
      </c>
      <c r="C44" s="12" t="s">
        <v>328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437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377</v>
      </c>
      <c r="B45" s="11" t="s">
        <v>147</v>
      </c>
      <c r="C45" s="12" t="s">
        <v>328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437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341</v>
      </c>
      <c r="B71" s="11" t="s">
        <v>173</v>
      </c>
      <c r="C71" s="12" t="s">
        <v>340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367</v>
      </c>
      <c r="B89" s="11" t="s">
        <v>220</v>
      </c>
      <c r="C89" s="12" t="s">
        <v>328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369</v>
      </c>
      <c r="B90" s="11" t="s">
        <v>221</v>
      </c>
      <c r="C90" s="12" t="s">
        <v>328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370</v>
      </c>
      <c r="B91" s="11" t="s">
        <v>222</v>
      </c>
      <c r="C91" s="12" t="s">
        <v>328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371</v>
      </c>
      <c r="B92" s="11" t="s">
        <v>223</v>
      </c>
      <c r="C92" s="12" t="s">
        <v>328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368</v>
      </c>
      <c r="B93" s="11" t="s">
        <v>224</v>
      </c>
      <c r="C93" s="12" t="s">
        <v>340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372</v>
      </c>
      <c r="B94" s="11" t="s">
        <v>225</v>
      </c>
      <c r="C94" s="12" t="s">
        <v>340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373</v>
      </c>
      <c r="B95" s="11" t="s">
        <v>226</v>
      </c>
      <c r="C95" s="12" t="s">
        <v>340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374</v>
      </c>
      <c r="B96" s="11" t="s">
        <v>227</v>
      </c>
      <c r="C96" s="12" t="s">
        <v>340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328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326</v>
      </c>
      <c r="B98" s="11" t="s">
        <v>327</v>
      </c>
      <c r="C98" s="12" t="s">
        <v>340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364</v>
      </c>
      <c r="B99" s="11" t="s">
        <v>365</v>
      </c>
      <c r="C99" s="12" t="s">
        <v>340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417</v>
      </c>
      <c r="B100" s="11" t="s">
        <v>378</v>
      </c>
      <c r="C100" s="12" t="s">
        <v>340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418</v>
      </c>
      <c r="B101" s="11" t="s">
        <v>379</v>
      </c>
      <c r="C101" s="12" t="s">
        <v>340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419</v>
      </c>
      <c r="B102" s="11" t="s">
        <v>380</v>
      </c>
      <c r="C102" s="12" t="s">
        <v>340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420</v>
      </c>
      <c r="B103" s="11" t="s">
        <v>381</v>
      </c>
      <c r="C103" s="12" t="s">
        <v>340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414</v>
      </c>
      <c r="B104" s="11" t="s">
        <v>382</v>
      </c>
      <c r="C104" s="12" t="s">
        <v>340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415</v>
      </c>
      <c r="B105" s="11" t="s">
        <v>383</v>
      </c>
      <c r="C105" s="12" t="s">
        <v>340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416</v>
      </c>
      <c r="B106" s="11" t="s">
        <v>384</v>
      </c>
      <c r="C106" s="12" t="s">
        <v>340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421</v>
      </c>
      <c r="B107" s="11" t="s">
        <v>385</v>
      </c>
      <c r="C107" s="12" t="s">
        <v>340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422</v>
      </c>
      <c r="B108" s="11" t="s">
        <v>386</v>
      </c>
      <c r="C108" s="12" t="s">
        <v>340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393</v>
      </c>
      <c r="B109" s="11" t="s">
        <v>394</v>
      </c>
      <c r="C109" s="12" t="s">
        <v>340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396</v>
      </c>
      <c r="B110" s="11" t="s">
        <v>397</v>
      </c>
      <c r="C110" s="12" t="s">
        <v>328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400</v>
      </c>
      <c r="B111" s="11" t="s">
        <v>404</v>
      </c>
      <c r="C111" s="12" t="s">
        <v>340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401</v>
      </c>
      <c r="B112" s="11" t="s">
        <v>405</v>
      </c>
      <c r="C112" s="12" t="s">
        <v>340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402</v>
      </c>
      <c r="B113" s="11" t="s">
        <v>406</v>
      </c>
      <c r="C113" s="12" t="s">
        <v>340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403</v>
      </c>
      <c r="B114" s="11" t="s">
        <v>407</v>
      </c>
      <c r="C114" s="12" t="s">
        <v>340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444</v>
      </c>
      <c r="B115" s="11" t="s">
        <v>439</v>
      </c>
      <c r="C115" s="12" t="s">
        <v>340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442</v>
      </c>
      <c r="B116" s="11" t="s">
        <v>443</v>
      </c>
      <c r="C116" s="12" t="s">
        <v>340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447</v>
      </c>
      <c r="B117" s="11" t="s">
        <v>448</v>
      </c>
      <c r="C117" s="12" t="s">
        <v>340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  <row r="118" spans="1:26" ht="15" x14ac:dyDescent="0.15">
      <c r="A118" s="6" t="s">
        <v>452</v>
      </c>
      <c r="B118" s="11" t="s">
        <v>451</v>
      </c>
      <c r="C118" t="s">
        <v>450</v>
      </c>
      <c r="F118">
        <v>500</v>
      </c>
      <c r="I118">
        <v>500</v>
      </c>
      <c r="J118" s="47">
        <v>0.1</v>
      </c>
      <c r="M118" s="15">
        <f>M65*1.2</f>
        <v>2772090337.5000014</v>
      </c>
      <c r="N118" s="15">
        <f t="shared" ref="N118:O118" si="99">N65*1.2</f>
        <v>24394.394970000005</v>
      </c>
      <c r="O118" s="15">
        <f t="shared" si="99"/>
        <v>5544180675.0000029</v>
      </c>
      <c r="P118" s="15">
        <v>30000</v>
      </c>
      <c r="Q118" s="15">
        <v>445</v>
      </c>
      <c r="R118" s="15">
        <v>0.75</v>
      </c>
      <c r="S118" s="15">
        <v>76376.552207155182</v>
      </c>
      <c r="T118" s="15">
        <v>0</v>
      </c>
      <c r="U118" s="15">
        <v>200</v>
      </c>
      <c r="V118" s="15">
        <v>525</v>
      </c>
      <c r="W118" s="15">
        <v>20</v>
      </c>
      <c r="X118" s="15">
        <f>X65*1.2</f>
        <v>5400</v>
      </c>
      <c r="Y118" s="15">
        <v>20</v>
      </c>
      <c r="Z118" s="15">
        <v>500</v>
      </c>
    </row>
    <row r="119" spans="1:26" ht="15" x14ac:dyDescent="0.15">
      <c r="A119" s="27" t="s">
        <v>456</v>
      </c>
      <c r="B119" s="11" t="s">
        <v>454</v>
      </c>
      <c r="C119" s="12" t="s">
        <v>450</v>
      </c>
      <c r="D119" s="7"/>
      <c r="E119" s="7"/>
      <c r="F119" s="33">
        <v>500</v>
      </c>
      <c r="G119" s="33"/>
      <c r="H119" s="33"/>
      <c r="I119" s="33">
        <v>500</v>
      </c>
      <c r="J119" s="49">
        <v>0.1</v>
      </c>
      <c r="K119" s="46"/>
      <c r="L119" s="34"/>
      <c r="M119" s="39">
        <f>M118*0.98</f>
        <v>2716648530.7500014</v>
      </c>
      <c r="N119" s="39">
        <f t="shared" ref="N119:O119" si="100">N118*0.98</f>
        <v>23906.507070600004</v>
      </c>
      <c r="O119" s="39">
        <f t="shared" si="100"/>
        <v>5433297061.5000029</v>
      </c>
      <c r="P119" s="39">
        <v>30000</v>
      </c>
      <c r="Q119" s="35">
        <v>440</v>
      </c>
      <c r="R119" s="36">
        <v>0.75</v>
      </c>
      <c r="S119" s="35">
        <v>63647.126839295983</v>
      </c>
      <c r="T119" s="35">
        <v>0</v>
      </c>
      <c r="U119" s="35">
        <v>200</v>
      </c>
      <c r="V119" s="35">
        <v>500</v>
      </c>
      <c r="W119" s="42">
        <v>20</v>
      </c>
      <c r="X119" s="15">
        <v>5400</v>
      </c>
      <c r="Y119" s="42">
        <v>20</v>
      </c>
      <c r="Z119" s="42">
        <v>500</v>
      </c>
    </row>
    <row r="120" spans="1:26" ht="15" x14ac:dyDescent="0.15">
      <c r="A120" s="6" t="s">
        <v>457</v>
      </c>
      <c r="B120" s="11" t="s">
        <v>458</v>
      </c>
      <c r="C120" s="12" t="s">
        <v>459</v>
      </c>
      <c r="F120" s="33">
        <v>500</v>
      </c>
      <c r="I120">
        <v>500</v>
      </c>
      <c r="J120" s="47">
        <v>0.1</v>
      </c>
      <c r="K120" s="47" t="s">
        <v>460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</sheetData>
  <phoneticPr fontId="6" type="noConversion"/>
  <conditionalFormatting sqref="A99">
    <cfRule type="duplicateValues" dxfId="1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2019-08-04T17:20:13Z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