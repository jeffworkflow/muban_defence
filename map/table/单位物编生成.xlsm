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42381AA0-B7AB-48F8-BF06-7E10BF7ABBA5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7" i="29" l="1"/>
  <c r="M77" i="29"/>
  <c r="N77" i="29"/>
  <c r="N78" i="29" s="1"/>
  <c r="L78" i="29"/>
  <c r="M78" i="29"/>
  <c r="M76" i="29"/>
  <c r="N76" i="29"/>
  <c r="L76" i="29"/>
  <c r="M40" i="29"/>
  <c r="M41" i="29" s="1"/>
  <c r="M42" i="29" s="1"/>
  <c r="M43" i="29" s="1"/>
  <c r="M44" i="29" s="1"/>
  <c r="M45" i="29" s="1"/>
  <c r="N40" i="29"/>
  <c r="N41" i="29"/>
  <c r="N42" i="29" s="1"/>
  <c r="N43" i="29" s="1"/>
  <c r="N44" i="29" s="1"/>
  <c r="N45" i="29" s="1"/>
  <c r="M39" i="29"/>
  <c r="N39" i="29"/>
  <c r="L39" i="29"/>
  <c r="L40" i="29" s="1"/>
  <c r="L41" i="29" s="1"/>
  <c r="L42" i="29" s="1"/>
  <c r="L43" i="29" s="1"/>
  <c r="L44" i="29" s="1"/>
  <c r="L45" i="29" s="1"/>
  <c r="M72" i="29" l="1"/>
  <c r="M73" i="29" s="1"/>
  <c r="M74" i="29" s="1"/>
  <c r="N72" i="29"/>
  <c r="N73" i="29" s="1"/>
  <c r="N74" i="29" s="1"/>
  <c r="L72" i="29"/>
  <c r="L73" i="29" s="1"/>
  <c r="L74" i="29" s="1"/>
  <c r="N49" i="29" l="1"/>
  <c r="N51" i="29" s="1"/>
  <c r="N52" i="29" s="1"/>
  <c r="M49" i="29"/>
  <c r="M51" i="29" s="1"/>
  <c r="M52" i="29" s="1"/>
  <c r="L49" i="29"/>
  <c r="L51" i="29" s="1"/>
  <c r="L52" i="29" s="1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U76" i="29"/>
  <c r="T75" i="29"/>
  <c r="O74" i="29"/>
  <c r="T73" i="29"/>
  <c r="P73" i="29"/>
  <c r="U72" i="29"/>
  <c r="S72" i="29"/>
  <c r="O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M64" i="29"/>
  <c r="M86" i="29" s="1"/>
  <c r="L64" i="29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Y44" i="29"/>
  <c r="X44" i="29"/>
  <c r="W44" i="29"/>
  <c r="V44" i="29"/>
  <c r="U44" i="29"/>
  <c r="T44" i="29"/>
  <c r="S44" i="29"/>
  <c r="Q44" i="29"/>
  <c r="P44" i="29"/>
  <c r="O44" i="29"/>
  <c r="Y43" i="29"/>
  <c r="X43" i="29"/>
  <c r="W43" i="29"/>
  <c r="V43" i="29"/>
  <c r="U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S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79" i="29" l="1"/>
  <c r="L80" i="29"/>
  <c r="L29" i="29"/>
  <c r="L53" i="29"/>
  <c r="L54" i="29"/>
  <c r="L81" i="29" s="1"/>
  <c r="N54" i="29"/>
  <c r="N81" i="29" s="1"/>
  <c r="R4" i="29"/>
  <c r="R35" i="29" s="1"/>
  <c r="N29" i="29"/>
  <c r="R29" i="29" s="1"/>
  <c r="N53" i="29"/>
  <c r="N80" i="29"/>
  <c r="N79" i="29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N68" i="29"/>
  <c r="N88" i="29" s="1"/>
  <c r="T96" i="29"/>
  <c r="T92" i="29"/>
  <c r="L84" i="29"/>
  <c r="O90" i="29"/>
  <c r="R5" i="29"/>
  <c r="R47" i="29" s="1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P76" i="29"/>
  <c r="P88" i="29"/>
  <c r="M92" i="29"/>
  <c r="P93" i="29"/>
  <c r="N70" i="29"/>
  <c r="P89" i="29"/>
  <c r="P83" i="29"/>
  <c r="T76" i="29"/>
  <c r="T87" i="29"/>
  <c r="R88" i="29"/>
  <c r="R74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R7" i="29"/>
  <c r="R49" i="29" s="1"/>
  <c r="R75" i="29" s="1"/>
  <c r="N61" i="29"/>
  <c r="N94" i="29" s="1"/>
  <c r="R19" i="29"/>
  <c r="R61" i="29" s="1"/>
  <c r="R94" i="29" s="1"/>
  <c r="N59" i="29"/>
  <c r="N90" i="29" s="1"/>
  <c r="R17" i="29"/>
  <c r="R59" i="29" s="1"/>
  <c r="S58" i="29"/>
  <c r="P90" i="29"/>
  <c r="U73" i="29"/>
  <c r="R12" i="29" l="1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<sst xmlns="http://schemas.openxmlformats.org/spreadsheetml/2006/main" count="775" uniqueCount="388">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</sst>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37" activePane="bottomRight" state="frozen"/>
      <selection pane="topRight"/>
      <selection pane="bottomLeft"/>
      <selection pane="bottomRight" activeCell="A47" sqref="A47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1.2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1.4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1.3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2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1.3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2.2000000000000002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49" activePane="bottomLeft" state="frozen"/>
      <selection activeCell="D1" sqref="D1"/>
      <selection pane="bottomLeft" activeCell="H67" sqref="H67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v>1000000</v>
      </c>
      <c r="M38" s="43">
        <v>25</v>
      </c>
      <c r="N38" s="43">
        <v>4000000</v>
      </c>
      <c r="O38" s="43">
        <f t="shared" ref="M38:U38" si="10">O10</f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L38*1.25</f>
        <v>1250000</v>
      </c>
      <c r="M39" s="43">
        <f t="shared" ref="M39:N39" si="11">M38*1.25</f>
        <v>31.25</v>
      </c>
      <c r="N39" s="43">
        <f t="shared" si="11"/>
        <v>5000000</v>
      </c>
      <c r="O39" s="43">
        <f t="shared" ref="M39:U39" si="12">O12</f>
        <v>10000</v>
      </c>
      <c r="P39" s="43">
        <f t="shared" si="12"/>
        <v>350</v>
      </c>
      <c r="Q39" s="44">
        <f t="shared" si="12"/>
        <v>1</v>
      </c>
      <c r="R39" s="43">
        <f t="shared" si="12"/>
        <v>12800</v>
      </c>
      <c r="S39" s="43">
        <f t="shared" si="12"/>
        <v>100</v>
      </c>
      <c r="T39" s="43">
        <f t="shared" si="12"/>
        <v>200</v>
      </c>
      <c r="U39" s="43">
        <f t="shared" si="12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 t="shared" ref="L40:L45" si="13">L39*1.25</f>
        <v>1562500</v>
      </c>
      <c r="M40" s="43">
        <f t="shared" ref="M40:M45" si="14">M39*1.25</f>
        <v>39.0625</v>
      </c>
      <c r="N40" s="43">
        <f t="shared" ref="N40:N45" si="15">N39*1.25</f>
        <v>6250000</v>
      </c>
      <c r="O40" s="43">
        <f t="shared" ref="M40:U40" si="16">O14</f>
        <v>10000</v>
      </c>
      <c r="P40" s="43">
        <f t="shared" si="16"/>
        <v>350</v>
      </c>
      <c r="Q40" s="44">
        <f t="shared" si="16"/>
        <v>1</v>
      </c>
      <c r="R40" s="43">
        <f t="shared" si="16"/>
        <v>1125</v>
      </c>
      <c r="S40" s="43">
        <f t="shared" si="16"/>
        <v>100</v>
      </c>
      <c r="T40" s="43">
        <f t="shared" si="16"/>
        <v>200</v>
      </c>
      <c r="U40" s="43">
        <f t="shared" si="16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 t="shared" si="13"/>
        <v>1953125</v>
      </c>
      <c r="M41" s="43">
        <f t="shared" si="14"/>
        <v>48.828125</v>
      </c>
      <c r="N41" s="43">
        <f t="shared" si="15"/>
        <v>7812500</v>
      </c>
      <c r="O41" s="43">
        <f t="shared" ref="M41:U41" si="17">O16</f>
        <v>10000</v>
      </c>
      <c r="P41" s="43">
        <f t="shared" si="17"/>
        <v>350</v>
      </c>
      <c r="Q41" s="44">
        <f t="shared" si="17"/>
        <v>1</v>
      </c>
      <c r="R41" s="43">
        <f t="shared" si="17"/>
        <v>2375</v>
      </c>
      <c r="S41" s="43">
        <f t="shared" si="17"/>
        <v>100</v>
      </c>
      <c r="T41" s="43">
        <f t="shared" si="17"/>
        <v>200</v>
      </c>
      <c r="U41" s="43">
        <f t="shared" si="17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 t="shared" si="13"/>
        <v>2441406.25</v>
      </c>
      <c r="M42" s="43">
        <f t="shared" si="14"/>
        <v>61.03515625</v>
      </c>
      <c r="N42" s="43">
        <f t="shared" si="15"/>
        <v>9765625</v>
      </c>
      <c r="O42" s="43">
        <f t="shared" ref="M42:U42" si="18">O18</f>
        <v>10000</v>
      </c>
      <c r="P42" s="43">
        <f t="shared" si="18"/>
        <v>350</v>
      </c>
      <c r="Q42" s="44">
        <f t="shared" si="18"/>
        <v>1</v>
      </c>
      <c r="R42" s="43">
        <f t="shared" si="18"/>
        <v>3625</v>
      </c>
      <c r="S42" s="43">
        <f t="shared" si="18"/>
        <v>100</v>
      </c>
      <c r="T42" s="43">
        <f t="shared" si="18"/>
        <v>200</v>
      </c>
      <c r="U42" s="43">
        <f t="shared" si="18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 t="shared" si="13"/>
        <v>3051757.8125</v>
      </c>
      <c r="M43" s="43">
        <f t="shared" si="14"/>
        <v>76.2939453125</v>
      </c>
      <c r="N43" s="43">
        <f t="shared" si="15"/>
        <v>12207031.25</v>
      </c>
      <c r="O43" s="43">
        <f t="shared" ref="M43:W43" si="19">O8</f>
        <v>1000</v>
      </c>
      <c r="P43" s="43">
        <f t="shared" si="19"/>
        <v>350</v>
      </c>
      <c r="Q43" s="44">
        <f t="shared" si="19"/>
        <v>1</v>
      </c>
      <c r="R43" s="43">
        <f t="shared" si="19"/>
        <v>800</v>
      </c>
      <c r="S43" s="43">
        <f t="shared" si="19"/>
        <v>10</v>
      </c>
      <c r="T43" s="43">
        <f t="shared" si="19"/>
        <v>200</v>
      </c>
      <c r="U43" s="43">
        <f t="shared" si="19"/>
        <v>50</v>
      </c>
      <c r="V43" s="43">
        <f t="shared" si="19"/>
        <v>0</v>
      </c>
      <c r="W43" s="43">
        <f t="shared" si="19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 t="shared" si="13"/>
        <v>3814697.265625</v>
      </c>
      <c r="M44" s="43">
        <f t="shared" si="14"/>
        <v>95.367431640625</v>
      </c>
      <c r="N44" s="43">
        <f t="shared" si="15"/>
        <v>15258789.0625</v>
      </c>
      <c r="O44" s="43">
        <f t="shared" ref="M44:Y44" si="20">O14</f>
        <v>10000</v>
      </c>
      <c r="P44" s="43">
        <f t="shared" si="20"/>
        <v>350</v>
      </c>
      <c r="Q44" s="44">
        <f t="shared" si="20"/>
        <v>1</v>
      </c>
      <c r="R44" s="43">
        <f t="shared" si="20"/>
        <v>1125</v>
      </c>
      <c r="S44" s="43">
        <f t="shared" si="20"/>
        <v>100</v>
      </c>
      <c r="T44" s="43">
        <f t="shared" si="20"/>
        <v>200</v>
      </c>
      <c r="U44" s="43">
        <f t="shared" si="20"/>
        <v>110</v>
      </c>
      <c r="V44" s="43">
        <f t="shared" si="20"/>
        <v>0</v>
      </c>
      <c r="W44" s="43">
        <f t="shared" si="20"/>
        <v>0</v>
      </c>
      <c r="X44" s="43">
        <f t="shared" si="20"/>
        <v>0</v>
      </c>
      <c r="Y44" s="43">
        <f t="shared" si="20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 t="shared" si="13"/>
        <v>4768371.58203125</v>
      </c>
      <c r="M45" s="43">
        <f t="shared" si="14"/>
        <v>119.20928955078125</v>
      </c>
      <c r="N45" s="43">
        <f t="shared" si="15"/>
        <v>19073486.328125</v>
      </c>
      <c r="O45" s="43">
        <f t="shared" ref="M45:Y45" si="21">O23</f>
        <v>10000</v>
      </c>
      <c r="P45" s="43">
        <f t="shared" si="21"/>
        <v>350</v>
      </c>
      <c r="Q45" s="44">
        <f t="shared" si="21"/>
        <v>1</v>
      </c>
      <c r="R45" s="43">
        <f t="shared" si="21"/>
        <v>6750</v>
      </c>
      <c r="S45" s="43">
        <f t="shared" si="21"/>
        <v>100</v>
      </c>
      <c r="T45" s="43">
        <f t="shared" si="21"/>
        <v>200</v>
      </c>
      <c r="U45" s="43">
        <f t="shared" si="21"/>
        <v>200</v>
      </c>
      <c r="V45" s="43">
        <f t="shared" si="21"/>
        <v>0</v>
      </c>
      <c r="W45" s="43">
        <f t="shared" si="21"/>
        <v>0</v>
      </c>
      <c r="X45" s="43">
        <f t="shared" si="21"/>
        <v>0</v>
      </c>
      <c r="Y45" s="43">
        <f t="shared" si="21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200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f>M46*1.25</f>
        <v>18.75</v>
      </c>
      <c r="N47" s="43">
        <f t="shared" ref="N47" si="22">N46*1.25</f>
        <v>9375000</v>
      </c>
      <c r="O47" s="43">
        <f t="shared" ref="L47:O62" si="23">O5*3</f>
        <v>300</v>
      </c>
      <c r="P47" s="39">
        <f t="shared" ref="P47:P70" si="24">P5</f>
        <v>350</v>
      </c>
      <c r="Q47" s="40">
        <v>0.75</v>
      </c>
      <c r="R47" s="39">
        <f t="shared" ref="R47:U62" si="25">R5</f>
        <v>100</v>
      </c>
      <c r="S47" s="39">
        <f t="shared" si="25"/>
        <v>1</v>
      </c>
      <c r="T47" s="39">
        <f t="shared" si="25"/>
        <v>200</v>
      </c>
      <c r="U47" s="39">
        <f t="shared" si="25"/>
        <v>20</v>
      </c>
      <c r="V47" s="46">
        <v>5</v>
      </c>
      <c r="W47" s="46">
        <v>200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36.62109375</v>
      </c>
      <c r="N48" s="43">
        <v>18310546.875</v>
      </c>
      <c r="O48" s="43">
        <f t="shared" si="23"/>
        <v>300</v>
      </c>
      <c r="P48" s="39">
        <f t="shared" si="24"/>
        <v>350</v>
      </c>
      <c r="Q48" s="40">
        <v>0.75</v>
      </c>
      <c r="R48" s="39">
        <f t="shared" si="25"/>
        <v>200</v>
      </c>
      <c r="S48" s="39">
        <f t="shared" si="25"/>
        <v>1</v>
      </c>
      <c r="T48" s="39">
        <f t="shared" si="25"/>
        <v>200</v>
      </c>
      <c r="U48" s="39">
        <f t="shared" si="25"/>
        <v>30</v>
      </c>
      <c r="V48" s="46">
        <v>5</v>
      </c>
      <c r="W48" s="46">
        <v>200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f>M48*1.25</f>
        <v>45.7763671875</v>
      </c>
      <c r="N49" s="43">
        <f>N48*1.25</f>
        <v>22888183.59375</v>
      </c>
      <c r="O49" s="43">
        <f t="shared" si="23"/>
        <v>3000</v>
      </c>
      <c r="P49" s="39">
        <f t="shared" si="24"/>
        <v>350</v>
      </c>
      <c r="Q49" s="40">
        <v>0.75</v>
      </c>
      <c r="R49" s="39">
        <f t="shared" si="25"/>
        <v>400</v>
      </c>
      <c r="S49" s="39">
        <f t="shared" si="25"/>
        <v>10</v>
      </c>
      <c r="T49" s="39">
        <f t="shared" si="25"/>
        <v>200</v>
      </c>
      <c r="U49" s="39">
        <f t="shared" si="25"/>
        <v>40</v>
      </c>
      <c r="V49" s="46">
        <v>5</v>
      </c>
      <c r="W49" s="46">
        <v>200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20000000</v>
      </c>
      <c r="M50" s="43">
        <v>60</v>
      </c>
      <c r="N50" s="43">
        <v>40000000</v>
      </c>
      <c r="O50" s="43">
        <f t="shared" si="23"/>
        <v>3000</v>
      </c>
      <c r="P50" s="39">
        <f t="shared" si="24"/>
        <v>350</v>
      </c>
      <c r="Q50" s="40">
        <v>0.75</v>
      </c>
      <c r="R50" s="39">
        <f t="shared" si="25"/>
        <v>800</v>
      </c>
      <c r="S50" s="39">
        <f t="shared" si="25"/>
        <v>10</v>
      </c>
      <c r="T50" s="39">
        <f t="shared" si="25"/>
        <v>200</v>
      </c>
      <c r="U50" s="39">
        <f t="shared" si="25"/>
        <v>50</v>
      </c>
      <c r="V50" s="46">
        <v>5</v>
      </c>
      <c r="W50" s="46">
        <v>200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0:L52" si="26">L50*1.25</f>
        <v>25000000</v>
      </c>
      <c r="M51" s="43">
        <f t="shared" ref="M51:M52" si="27">M50*1.25</f>
        <v>75</v>
      </c>
      <c r="N51" s="43">
        <f t="shared" ref="N51:N52" si="28">N50*1.25</f>
        <v>50000000</v>
      </c>
      <c r="O51" s="43">
        <f t="shared" si="23"/>
        <v>30000</v>
      </c>
      <c r="P51" s="39">
        <f t="shared" si="24"/>
        <v>350</v>
      </c>
      <c r="Q51" s="40">
        <v>0.75</v>
      </c>
      <c r="R51" s="39">
        <f t="shared" si="25"/>
        <v>1600</v>
      </c>
      <c r="S51" s="39">
        <f t="shared" si="25"/>
        <v>100</v>
      </c>
      <c r="T51" s="39">
        <f t="shared" si="25"/>
        <v>200</v>
      </c>
      <c r="U51" s="39">
        <f t="shared" si="25"/>
        <v>60</v>
      </c>
      <c r="V51" s="46">
        <v>5</v>
      </c>
      <c r="W51" s="46">
        <v>200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26"/>
        <v>31250000</v>
      </c>
      <c r="M52" s="43">
        <f t="shared" si="27"/>
        <v>93.75</v>
      </c>
      <c r="N52" s="43">
        <f t="shared" si="28"/>
        <v>62500000</v>
      </c>
      <c r="O52" s="43">
        <f t="shared" si="23"/>
        <v>30000</v>
      </c>
      <c r="P52" s="39">
        <f t="shared" si="24"/>
        <v>350</v>
      </c>
      <c r="Q52" s="40">
        <v>0.75</v>
      </c>
      <c r="R52" s="39">
        <f t="shared" si="25"/>
        <v>3200</v>
      </c>
      <c r="S52" s="39">
        <f t="shared" si="25"/>
        <v>100</v>
      </c>
      <c r="T52" s="39">
        <f t="shared" si="25"/>
        <v>200</v>
      </c>
      <c r="U52" s="39">
        <f t="shared" si="25"/>
        <v>70</v>
      </c>
      <c r="V52" s="46">
        <v>5</v>
      </c>
      <c r="W52" s="46">
        <v>200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23"/>
        <v>38400000</v>
      </c>
      <c r="M53" s="43">
        <f t="shared" si="23"/>
        <v>1920</v>
      </c>
      <c r="N53" s="43">
        <f t="shared" si="23"/>
        <v>192000000</v>
      </c>
      <c r="O53" s="43">
        <f t="shared" si="23"/>
        <v>30000</v>
      </c>
      <c r="P53" s="39">
        <f t="shared" si="24"/>
        <v>350</v>
      </c>
      <c r="Q53" s="40">
        <v>0.75</v>
      </c>
      <c r="R53" s="39">
        <f t="shared" si="25"/>
        <v>6400</v>
      </c>
      <c r="S53" s="39">
        <f t="shared" si="25"/>
        <v>100</v>
      </c>
      <c r="T53" s="39">
        <f t="shared" si="25"/>
        <v>200</v>
      </c>
      <c r="U53" s="39">
        <f t="shared" si="25"/>
        <v>80</v>
      </c>
      <c r="V53" s="46">
        <v>5</v>
      </c>
      <c r="W53" s="46">
        <v>200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23"/>
        <v>76800000</v>
      </c>
      <c r="M54" s="43">
        <f t="shared" si="23"/>
        <v>3840</v>
      </c>
      <c r="N54" s="43">
        <f t="shared" si="23"/>
        <v>384000000</v>
      </c>
      <c r="O54" s="43">
        <f t="shared" si="23"/>
        <v>30000</v>
      </c>
      <c r="P54" s="39">
        <f t="shared" si="24"/>
        <v>350</v>
      </c>
      <c r="Q54" s="40">
        <v>0.75</v>
      </c>
      <c r="R54" s="39">
        <f t="shared" si="25"/>
        <v>12800</v>
      </c>
      <c r="S54" s="39">
        <f t="shared" si="25"/>
        <v>100</v>
      </c>
      <c r="T54" s="39">
        <f t="shared" si="25"/>
        <v>200</v>
      </c>
      <c r="U54" s="39">
        <f t="shared" si="25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23"/>
        <v>153600000</v>
      </c>
      <c r="M55" s="43">
        <f t="shared" si="23"/>
        <v>7680</v>
      </c>
      <c r="N55" s="43">
        <f t="shared" si="23"/>
        <v>768000000</v>
      </c>
      <c r="O55" s="43">
        <f t="shared" si="23"/>
        <v>30000</v>
      </c>
      <c r="P55" s="39">
        <f t="shared" si="24"/>
        <v>350</v>
      </c>
      <c r="Q55" s="40">
        <v>0.75</v>
      </c>
      <c r="R55" s="39">
        <f t="shared" si="25"/>
        <v>25600</v>
      </c>
      <c r="S55" s="39">
        <f t="shared" si="25"/>
        <v>100</v>
      </c>
      <c r="T55" s="39">
        <f t="shared" si="25"/>
        <v>200</v>
      </c>
      <c r="U55" s="39">
        <f t="shared" si="25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23"/>
        <v>6750000</v>
      </c>
      <c r="M56" s="43">
        <f t="shared" si="23"/>
        <v>9000</v>
      </c>
      <c r="N56" s="43">
        <f t="shared" si="23"/>
        <v>33750000</v>
      </c>
      <c r="O56" s="43">
        <f t="shared" si="23"/>
        <v>30000</v>
      </c>
      <c r="P56" s="39">
        <f t="shared" si="24"/>
        <v>350</v>
      </c>
      <c r="Q56" s="40">
        <v>0.75</v>
      </c>
      <c r="R56" s="39">
        <f t="shared" si="25"/>
        <v>1125</v>
      </c>
      <c r="S56" s="39">
        <f t="shared" si="25"/>
        <v>100</v>
      </c>
      <c r="T56" s="39">
        <f t="shared" si="25"/>
        <v>200</v>
      </c>
      <c r="U56" s="39">
        <f t="shared" si="25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23"/>
        <v>10500000</v>
      </c>
      <c r="M57" s="43">
        <f t="shared" si="23"/>
        <v>10500</v>
      </c>
      <c r="N57" s="43">
        <f t="shared" si="23"/>
        <v>52500000</v>
      </c>
      <c r="O57" s="43">
        <f t="shared" si="23"/>
        <v>30000</v>
      </c>
      <c r="P57" s="39">
        <f t="shared" si="24"/>
        <v>350</v>
      </c>
      <c r="Q57" s="40">
        <v>0.75</v>
      </c>
      <c r="R57" s="39">
        <f t="shared" si="25"/>
        <v>1750</v>
      </c>
      <c r="S57" s="39">
        <f t="shared" si="25"/>
        <v>100</v>
      </c>
      <c r="T57" s="39">
        <f t="shared" si="25"/>
        <v>200</v>
      </c>
      <c r="U57" s="39">
        <f t="shared" si="25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23"/>
        <v>14250000</v>
      </c>
      <c r="M58" s="43">
        <f t="shared" si="23"/>
        <v>12000</v>
      </c>
      <c r="N58" s="43">
        <f t="shared" si="23"/>
        <v>71250000</v>
      </c>
      <c r="O58" s="43">
        <f t="shared" si="23"/>
        <v>30000</v>
      </c>
      <c r="P58" s="39">
        <f t="shared" si="24"/>
        <v>350</v>
      </c>
      <c r="Q58" s="40">
        <v>0.75</v>
      </c>
      <c r="R58" s="39">
        <f t="shared" si="25"/>
        <v>2375</v>
      </c>
      <c r="S58" s="39">
        <f t="shared" si="25"/>
        <v>100</v>
      </c>
      <c r="T58" s="39">
        <f t="shared" si="25"/>
        <v>200</v>
      </c>
      <c r="U58" s="39">
        <f t="shared" si="25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23"/>
        <v>18000000</v>
      </c>
      <c r="M59" s="43">
        <f t="shared" si="23"/>
        <v>13500</v>
      </c>
      <c r="N59" s="43">
        <f t="shared" si="23"/>
        <v>90000000</v>
      </c>
      <c r="O59" s="43">
        <f t="shared" si="23"/>
        <v>30000</v>
      </c>
      <c r="P59" s="39">
        <f t="shared" si="24"/>
        <v>350</v>
      </c>
      <c r="Q59" s="40">
        <v>0.75</v>
      </c>
      <c r="R59" s="39">
        <f t="shared" si="25"/>
        <v>3000</v>
      </c>
      <c r="S59" s="39">
        <f t="shared" si="25"/>
        <v>100</v>
      </c>
      <c r="T59" s="39">
        <f t="shared" si="25"/>
        <v>200</v>
      </c>
      <c r="U59" s="39">
        <f t="shared" si="25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23"/>
        <v>21750000</v>
      </c>
      <c r="M60" s="43">
        <f t="shared" si="23"/>
        <v>15000</v>
      </c>
      <c r="N60" s="43">
        <f t="shared" si="23"/>
        <v>108750000</v>
      </c>
      <c r="O60" s="43">
        <f t="shared" si="23"/>
        <v>30000</v>
      </c>
      <c r="P60" s="39">
        <f t="shared" si="24"/>
        <v>350</v>
      </c>
      <c r="Q60" s="40">
        <v>0.75</v>
      </c>
      <c r="R60" s="39">
        <f t="shared" si="25"/>
        <v>3625</v>
      </c>
      <c r="S60" s="39">
        <f t="shared" si="25"/>
        <v>100</v>
      </c>
      <c r="T60" s="39">
        <f t="shared" si="25"/>
        <v>200</v>
      </c>
      <c r="U60" s="39">
        <f t="shared" si="25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23"/>
        <v>25500000</v>
      </c>
      <c r="M61" s="43">
        <f t="shared" si="23"/>
        <v>16500</v>
      </c>
      <c r="N61" s="43">
        <f t="shared" si="23"/>
        <v>127500000</v>
      </c>
      <c r="O61" s="43">
        <f t="shared" si="23"/>
        <v>30000</v>
      </c>
      <c r="P61" s="39">
        <f t="shared" si="24"/>
        <v>350</v>
      </c>
      <c r="Q61" s="40">
        <v>0.75</v>
      </c>
      <c r="R61" s="39">
        <f t="shared" si="25"/>
        <v>4250</v>
      </c>
      <c r="S61" s="39">
        <f t="shared" si="25"/>
        <v>100</v>
      </c>
      <c r="T61" s="39">
        <f t="shared" si="25"/>
        <v>200</v>
      </c>
      <c r="U61" s="39">
        <f t="shared" si="25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23"/>
        <v>29250000</v>
      </c>
      <c r="M62" s="43">
        <f t="shared" si="23"/>
        <v>18000</v>
      </c>
      <c r="N62" s="43">
        <f t="shared" si="23"/>
        <v>146250000</v>
      </c>
      <c r="O62" s="43">
        <f t="shared" si="23"/>
        <v>30000</v>
      </c>
      <c r="P62" s="39">
        <f t="shared" si="24"/>
        <v>350</v>
      </c>
      <c r="Q62" s="40">
        <v>0.75</v>
      </c>
      <c r="R62" s="39">
        <f t="shared" si="25"/>
        <v>4875</v>
      </c>
      <c r="S62" s="39">
        <f t="shared" si="25"/>
        <v>100</v>
      </c>
      <c r="T62" s="39">
        <f t="shared" si="25"/>
        <v>200</v>
      </c>
      <c r="U62" s="39">
        <f t="shared" si="25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9">L21*3</f>
        <v>33000000</v>
      </c>
      <c r="M63" s="43">
        <f t="shared" si="29"/>
        <v>19500</v>
      </c>
      <c r="N63" s="43">
        <f t="shared" si="29"/>
        <v>165000000</v>
      </c>
      <c r="O63" s="43">
        <f t="shared" si="29"/>
        <v>30000</v>
      </c>
      <c r="P63" s="39">
        <f t="shared" si="24"/>
        <v>350</v>
      </c>
      <c r="Q63" s="40">
        <v>0.75</v>
      </c>
      <c r="R63" s="39">
        <f t="shared" ref="R63:U70" si="30">R21</f>
        <v>5500</v>
      </c>
      <c r="S63" s="39">
        <f t="shared" si="30"/>
        <v>100</v>
      </c>
      <c r="T63" s="39">
        <f t="shared" si="30"/>
        <v>200</v>
      </c>
      <c r="U63" s="39">
        <f t="shared" si="30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9"/>
        <v>36750000</v>
      </c>
      <c r="M64" s="43">
        <f t="shared" si="29"/>
        <v>21000</v>
      </c>
      <c r="N64" s="43">
        <f t="shared" si="29"/>
        <v>183750000</v>
      </c>
      <c r="O64" s="43">
        <f t="shared" si="29"/>
        <v>30000</v>
      </c>
      <c r="P64" s="39">
        <f t="shared" si="24"/>
        <v>350</v>
      </c>
      <c r="Q64" s="40">
        <v>0.75</v>
      </c>
      <c r="R64" s="39">
        <f t="shared" si="30"/>
        <v>6125</v>
      </c>
      <c r="S64" s="39">
        <f t="shared" si="30"/>
        <v>100</v>
      </c>
      <c r="T64" s="39">
        <f t="shared" si="30"/>
        <v>200</v>
      </c>
      <c r="U64" s="39">
        <f t="shared" si="30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9"/>
        <v>40500000</v>
      </c>
      <c r="M65" s="43">
        <f t="shared" si="29"/>
        <v>22500</v>
      </c>
      <c r="N65" s="43">
        <f t="shared" si="29"/>
        <v>202500000</v>
      </c>
      <c r="O65" s="43">
        <f t="shared" si="29"/>
        <v>30000</v>
      </c>
      <c r="P65" s="39">
        <f t="shared" si="24"/>
        <v>350</v>
      </c>
      <c r="Q65" s="40">
        <v>0.75</v>
      </c>
      <c r="R65" s="39">
        <f t="shared" si="30"/>
        <v>6750</v>
      </c>
      <c r="S65" s="39">
        <f t="shared" si="30"/>
        <v>100</v>
      </c>
      <c r="T65" s="39">
        <f t="shared" si="30"/>
        <v>200</v>
      </c>
      <c r="U65" s="39">
        <f t="shared" si="30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9"/>
        <v>44250000</v>
      </c>
      <c r="M66" s="43">
        <f t="shared" si="29"/>
        <v>24000</v>
      </c>
      <c r="N66" s="43">
        <f t="shared" si="29"/>
        <v>221250000</v>
      </c>
      <c r="O66" s="43">
        <f t="shared" si="29"/>
        <v>30000</v>
      </c>
      <c r="P66" s="39">
        <f t="shared" si="24"/>
        <v>350</v>
      </c>
      <c r="Q66" s="40">
        <v>0.75</v>
      </c>
      <c r="R66" s="39">
        <f t="shared" si="30"/>
        <v>7375</v>
      </c>
      <c r="S66" s="39">
        <f t="shared" si="30"/>
        <v>100</v>
      </c>
      <c r="T66" s="39">
        <f t="shared" si="30"/>
        <v>200</v>
      </c>
      <c r="U66" s="39">
        <f t="shared" si="30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9"/>
        <v>48000000</v>
      </c>
      <c r="M67" s="43">
        <f t="shared" si="29"/>
        <v>25500</v>
      </c>
      <c r="N67" s="43">
        <f t="shared" si="29"/>
        <v>240000000</v>
      </c>
      <c r="O67" s="43">
        <f t="shared" si="29"/>
        <v>30000</v>
      </c>
      <c r="P67" s="39">
        <f t="shared" si="24"/>
        <v>350</v>
      </c>
      <c r="Q67" s="40">
        <v>0.75</v>
      </c>
      <c r="R67" s="39">
        <f t="shared" si="30"/>
        <v>8000</v>
      </c>
      <c r="S67" s="39">
        <f t="shared" si="30"/>
        <v>100</v>
      </c>
      <c r="T67" s="39">
        <f t="shared" si="30"/>
        <v>200</v>
      </c>
      <c r="U67" s="39">
        <f t="shared" si="30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9"/>
        <v>51750000</v>
      </c>
      <c r="M68" s="43">
        <f t="shared" si="29"/>
        <v>27000</v>
      </c>
      <c r="N68" s="43">
        <f t="shared" si="29"/>
        <v>258750000</v>
      </c>
      <c r="O68" s="43">
        <f t="shared" si="29"/>
        <v>30000</v>
      </c>
      <c r="P68" s="39">
        <f t="shared" si="24"/>
        <v>350</v>
      </c>
      <c r="Q68" s="40">
        <v>0.75</v>
      </c>
      <c r="R68" s="39">
        <f t="shared" si="30"/>
        <v>8625</v>
      </c>
      <c r="S68" s="39">
        <f t="shared" si="30"/>
        <v>100</v>
      </c>
      <c r="T68" s="39">
        <f t="shared" si="30"/>
        <v>200</v>
      </c>
      <c r="U68" s="39">
        <f t="shared" si="30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9"/>
        <v>55500000</v>
      </c>
      <c r="M69" s="43">
        <f t="shared" si="29"/>
        <v>28500</v>
      </c>
      <c r="N69" s="43">
        <f t="shared" si="29"/>
        <v>277500000</v>
      </c>
      <c r="O69" s="43">
        <f t="shared" si="29"/>
        <v>30000</v>
      </c>
      <c r="P69" s="39">
        <f t="shared" si="24"/>
        <v>350</v>
      </c>
      <c r="Q69" s="40">
        <v>0.75</v>
      </c>
      <c r="R69" s="39">
        <f t="shared" si="30"/>
        <v>9250</v>
      </c>
      <c r="S69" s="39">
        <f t="shared" si="30"/>
        <v>100</v>
      </c>
      <c r="T69" s="39">
        <f t="shared" si="30"/>
        <v>200</v>
      </c>
      <c r="U69" s="39">
        <f t="shared" si="30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9"/>
        <v>59250000</v>
      </c>
      <c r="M70" s="43">
        <f t="shared" si="29"/>
        <v>30000</v>
      </c>
      <c r="N70" s="43">
        <f t="shared" si="29"/>
        <v>296250000</v>
      </c>
      <c r="O70" s="43">
        <f t="shared" si="29"/>
        <v>30000</v>
      </c>
      <c r="P70" s="39">
        <f t="shared" si="24"/>
        <v>350</v>
      </c>
      <c r="Q70" s="40">
        <v>0.75</v>
      </c>
      <c r="R70" s="39">
        <f t="shared" si="30"/>
        <v>9875</v>
      </c>
      <c r="S70" s="39">
        <f t="shared" si="30"/>
        <v>100</v>
      </c>
      <c r="T70" s="39">
        <f t="shared" si="30"/>
        <v>200</v>
      </c>
      <c r="U70" s="39">
        <f t="shared" si="30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71.52557373046875</v>
      </c>
      <c r="N71" s="43">
        <v>35762786.865234375</v>
      </c>
      <c r="O71" s="43">
        <f>O48</f>
        <v>300</v>
      </c>
      <c r="P71" s="43">
        <f t="shared" ref="P71:U71" si="31">P48</f>
        <v>350</v>
      </c>
      <c r="Q71" s="40">
        <v>0.75</v>
      </c>
      <c r="R71" s="43">
        <f t="shared" si="31"/>
        <v>200</v>
      </c>
      <c r="S71" s="43">
        <f t="shared" si="31"/>
        <v>1</v>
      </c>
      <c r="T71" s="43">
        <f t="shared" si="31"/>
        <v>200</v>
      </c>
      <c r="U71" s="43">
        <f t="shared" si="31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L71*1.25</f>
        <v>21972656.25</v>
      </c>
      <c r="M72" s="43">
        <f>M71*1.25</f>
        <v>89.406967163085938</v>
      </c>
      <c r="N72" s="43">
        <f>N71*1.25</f>
        <v>44703483.581542969</v>
      </c>
      <c r="O72" s="43">
        <f>O51</f>
        <v>30000</v>
      </c>
      <c r="P72" s="43">
        <f t="shared" ref="P72:U72" si="32">P51</f>
        <v>350</v>
      </c>
      <c r="Q72" s="40">
        <v>0.75</v>
      </c>
      <c r="R72" s="43">
        <f t="shared" si="32"/>
        <v>1600</v>
      </c>
      <c r="S72" s="43">
        <f t="shared" si="32"/>
        <v>100</v>
      </c>
      <c r="T72" s="43">
        <f t="shared" si="32"/>
        <v>200</v>
      </c>
      <c r="U72" s="43">
        <f t="shared" si="32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 t="shared" ref="L73:L74" si="33">L72*1.25</f>
        <v>27465820.3125</v>
      </c>
      <c r="M73" s="43">
        <f t="shared" ref="M73:M74" si="34">M72*1.25</f>
        <v>111.75870895385742</v>
      </c>
      <c r="N73" s="43">
        <f t="shared" ref="N73:N74" si="35">N72*1.25</f>
        <v>55879354.476928711</v>
      </c>
      <c r="O73" s="43">
        <f>O55</f>
        <v>30000</v>
      </c>
      <c r="P73" s="43">
        <f t="shared" ref="P73:U73" si="36">P55</f>
        <v>350</v>
      </c>
      <c r="Q73" s="40">
        <v>0.75</v>
      </c>
      <c r="R73" s="43">
        <f t="shared" si="36"/>
        <v>25600</v>
      </c>
      <c r="S73" s="43">
        <f t="shared" si="36"/>
        <v>100</v>
      </c>
      <c r="T73" s="43">
        <f t="shared" si="36"/>
        <v>200</v>
      </c>
      <c r="U73" s="43">
        <f t="shared" si="36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 t="shared" si="33"/>
        <v>34332275.390625</v>
      </c>
      <c r="M74" s="43">
        <f t="shared" si="34"/>
        <v>139.69838619232178</v>
      </c>
      <c r="N74" s="43">
        <f t="shared" si="35"/>
        <v>69849193.096160889</v>
      </c>
      <c r="O74" s="43">
        <f>O60*1</f>
        <v>30000</v>
      </c>
      <c r="P74" s="43">
        <f t="shared" ref="P74:U74" si="37">P60*1</f>
        <v>350</v>
      </c>
      <c r="Q74" s="40">
        <v>0.75</v>
      </c>
      <c r="R74" s="43">
        <f t="shared" si="37"/>
        <v>3625</v>
      </c>
      <c r="S74" s="43">
        <f t="shared" si="37"/>
        <v>100</v>
      </c>
      <c r="T74" s="43">
        <f t="shared" si="37"/>
        <v>200</v>
      </c>
      <c r="U74" s="43">
        <f t="shared" si="37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31250000</v>
      </c>
      <c r="M75" s="43">
        <v>93.75</v>
      </c>
      <c r="N75" s="43">
        <v>62500000</v>
      </c>
      <c r="O75" s="43">
        <f>O49*1</f>
        <v>3000</v>
      </c>
      <c r="P75" s="43">
        <f t="shared" ref="P75:U75" si="38">P49*1</f>
        <v>350</v>
      </c>
      <c r="Q75" s="40">
        <v>0.75</v>
      </c>
      <c r="R75" s="43">
        <f t="shared" si="38"/>
        <v>400</v>
      </c>
      <c r="S75" s="43">
        <f t="shared" si="38"/>
        <v>10</v>
      </c>
      <c r="T75" s="43">
        <f t="shared" si="38"/>
        <v>200</v>
      </c>
      <c r="U75" s="43">
        <f t="shared" si="38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L75*1.25</f>
        <v>39062500</v>
      </c>
      <c r="M76" s="43">
        <f t="shared" ref="M76:N76" si="39">M75*1.25</f>
        <v>117.1875</v>
      </c>
      <c r="N76" s="43">
        <f t="shared" si="39"/>
        <v>78125000</v>
      </c>
      <c r="O76" s="43">
        <f>O53*1</f>
        <v>30000</v>
      </c>
      <c r="P76" s="43">
        <f t="shared" ref="P76:U76" si="40">P53*1</f>
        <v>350</v>
      </c>
      <c r="Q76" s="40">
        <v>0.75</v>
      </c>
      <c r="R76" s="43">
        <f t="shared" si="40"/>
        <v>6400</v>
      </c>
      <c r="S76" s="43">
        <f t="shared" si="40"/>
        <v>100</v>
      </c>
      <c r="T76" s="43">
        <f t="shared" si="40"/>
        <v>200</v>
      </c>
      <c r="U76" s="43">
        <f t="shared" si="40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 t="shared" ref="L77:L78" si="41">L76*1.25</f>
        <v>48828125</v>
      </c>
      <c r="M77" s="43">
        <f t="shared" ref="M77:M78" si="42">M76*1.25</f>
        <v>146.484375</v>
      </c>
      <c r="N77" s="43">
        <f t="shared" ref="N77:N78" si="43">N76*1.25</f>
        <v>97656250</v>
      </c>
      <c r="O77" s="43">
        <f>O58</f>
        <v>30000</v>
      </c>
      <c r="P77" s="43">
        <f t="shared" ref="P77:U77" si="44">P58</f>
        <v>350</v>
      </c>
      <c r="Q77" s="40">
        <v>0.75</v>
      </c>
      <c r="R77" s="43">
        <f t="shared" si="44"/>
        <v>2375</v>
      </c>
      <c r="S77" s="43">
        <f t="shared" si="44"/>
        <v>100</v>
      </c>
      <c r="T77" s="43">
        <f t="shared" si="44"/>
        <v>200</v>
      </c>
      <c r="U77" s="43">
        <f t="shared" si="44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 t="shared" si="41"/>
        <v>61035156.25</v>
      </c>
      <c r="M78" s="43">
        <f t="shared" si="42"/>
        <v>183.10546875</v>
      </c>
      <c r="N78" s="43">
        <f t="shared" si="43"/>
        <v>122070312.5</v>
      </c>
      <c r="O78" s="43">
        <f>O64</f>
        <v>30000</v>
      </c>
      <c r="P78" s="43">
        <f t="shared" ref="P78:U78" si="45">P64</f>
        <v>350</v>
      </c>
      <c r="Q78" s="40">
        <v>0.75</v>
      </c>
      <c r="R78" s="43">
        <f t="shared" si="45"/>
        <v>6125</v>
      </c>
      <c r="S78" s="43">
        <f t="shared" si="45"/>
        <v>100</v>
      </c>
      <c r="T78" s="43">
        <f t="shared" si="45"/>
        <v>200</v>
      </c>
      <c r="U78" s="43">
        <f t="shared" si="45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26000000</v>
      </c>
      <c r="M79" s="43">
        <f>M50*1.3</f>
        <v>78</v>
      </c>
      <c r="N79" s="43">
        <f>N50*1.3</f>
        <v>52000000</v>
      </c>
      <c r="O79" s="43">
        <f>O50*1</f>
        <v>3000</v>
      </c>
      <c r="P79" s="43">
        <f t="shared" ref="P79:U79" si="46">P50*1</f>
        <v>350</v>
      </c>
      <c r="Q79" s="40">
        <v>0.75</v>
      </c>
      <c r="R79" s="43">
        <f t="shared" si="46"/>
        <v>800</v>
      </c>
      <c r="S79" s="43">
        <f t="shared" si="46"/>
        <v>10</v>
      </c>
      <c r="T79" s="43">
        <f t="shared" si="46"/>
        <v>200</v>
      </c>
      <c r="U79" s="43">
        <f t="shared" si="46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40625000</v>
      </c>
      <c r="M80" s="43">
        <f>M52*1.3</f>
        <v>121.875</v>
      </c>
      <c r="N80" s="43">
        <f>N52*1.3</f>
        <v>81250000</v>
      </c>
      <c r="O80" s="43">
        <f>O52*1</f>
        <v>30000</v>
      </c>
      <c r="P80" s="43">
        <f t="shared" ref="P80:U88" si="47">P52*1</f>
        <v>350</v>
      </c>
      <c r="Q80" s="40">
        <v>0.75</v>
      </c>
      <c r="R80" s="43">
        <f t="shared" si="47"/>
        <v>3200</v>
      </c>
      <c r="S80" s="43">
        <f t="shared" si="47"/>
        <v>100</v>
      </c>
      <c r="T80" s="43">
        <f t="shared" si="47"/>
        <v>200</v>
      </c>
      <c r="U80" s="43">
        <f t="shared" si="47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48">O53*1</f>
        <v>30000</v>
      </c>
      <c r="P81" s="43">
        <f t="shared" si="47"/>
        <v>350</v>
      </c>
      <c r="Q81" s="40">
        <v>0.75</v>
      </c>
      <c r="R81" s="43">
        <f t="shared" si="47"/>
        <v>6400</v>
      </c>
      <c r="S81" s="43">
        <f t="shared" si="47"/>
        <v>100</v>
      </c>
      <c r="T81" s="43">
        <f t="shared" si="47"/>
        <v>200</v>
      </c>
      <c r="U81" s="43">
        <f t="shared" si="47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48"/>
        <v>30000</v>
      </c>
      <c r="P82" s="43">
        <f t="shared" si="47"/>
        <v>350</v>
      </c>
      <c r="Q82" s="40">
        <v>0.75</v>
      </c>
      <c r="R82" s="43">
        <f t="shared" si="47"/>
        <v>12800</v>
      </c>
      <c r="S82" s="43">
        <f t="shared" si="47"/>
        <v>100</v>
      </c>
      <c r="T82" s="43">
        <f t="shared" si="47"/>
        <v>200</v>
      </c>
      <c r="U82" s="43">
        <f t="shared" si="47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48"/>
        <v>30000</v>
      </c>
      <c r="P83" s="43">
        <f t="shared" si="47"/>
        <v>350</v>
      </c>
      <c r="Q83" s="40">
        <v>0.75</v>
      </c>
      <c r="R83" s="43">
        <f t="shared" si="47"/>
        <v>25600</v>
      </c>
      <c r="S83" s="43">
        <f t="shared" si="47"/>
        <v>100</v>
      </c>
      <c r="T83" s="43">
        <f t="shared" si="47"/>
        <v>200</v>
      </c>
      <c r="U83" s="43">
        <f t="shared" si="47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48"/>
        <v>30000</v>
      </c>
      <c r="P84" s="43">
        <f t="shared" si="47"/>
        <v>350</v>
      </c>
      <c r="Q84" s="40">
        <v>0.75</v>
      </c>
      <c r="R84" s="43">
        <f t="shared" si="47"/>
        <v>1125</v>
      </c>
      <c r="S84" s="43">
        <f t="shared" si="47"/>
        <v>100</v>
      </c>
      <c r="T84" s="43">
        <f t="shared" si="47"/>
        <v>200</v>
      </c>
      <c r="U84" s="43">
        <f t="shared" si="47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48"/>
        <v>30000</v>
      </c>
      <c r="P85" s="43">
        <f t="shared" si="47"/>
        <v>350</v>
      </c>
      <c r="Q85" s="40">
        <v>0.75</v>
      </c>
      <c r="R85" s="43">
        <f t="shared" si="47"/>
        <v>1750</v>
      </c>
      <c r="S85" s="43">
        <f t="shared" si="47"/>
        <v>100</v>
      </c>
      <c r="T85" s="43">
        <f t="shared" si="47"/>
        <v>200</v>
      </c>
      <c r="U85" s="43">
        <f t="shared" si="47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48"/>
        <v>30000</v>
      </c>
      <c r="P86" s="43">
        <f t="shared" si="47"/>
        <v>350</v>
      </c>
      <c r="Q86" s="40">
        <v>0.75</v>
      </c>
      <c r="R86" s="43">
        <f t="shared" si="47"/>
        <v>2375</v>
      </c>
      <c r="S86" s="43">
        <f t="shared" si="47"/>
        <v>100</v>
      </c>
      <c r="T86" s="43">
        <f t="shared" si="47"/>
        <v>200</v>
      </c>
      <c r="U86" s="43">
        <f t="shared" si="47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48"/>
        <v>30000</v>
      </c>
      <c r="P87" s="43">
        <f t="shared" si="47"/>
        <v>350</v>
      </c>
      <c r="Q87" s="40">
        <v>0.75</v>
      </c>
      <c r="R87" s="43">
        <f t="shared" si="47"/>
        <v>3000</v>
      </c>
      <c r="S87" s="43">
        <f t="shared" si="47"/>
        <v>100</v>
      </c>
      <c r="T87" s="43">
        <f t="shared" si="47"/>
        <v>200</v>
      </c>
      <c r="U87" s="43">
        <f t="shared" si="47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48"/>
        <v>30000</v>
      </c>
      <c r="P88" s="43">
        <f t="shared" si="47"/>
        <v>350</v>
      </c>
      <c r="Q88" s="40">
        <v>0.75</v>
      </c>
      <c r="R88" s="43">
        <f t="shared" si="47"/>
        <v>3625</v>
      </c>
      <c r="S88" s="43">
        <f t="shared" si="47"/>
        <v>100</v>
      </c>
      <c r="T88" s="43">
        <f t="shared" si="47"/>
        <v>200</v>
      </c>
      <c r="U88" s="43">
        <f t="shared" si="47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49">P55*1</f>
        <v>350</v>
      </c>
      <c r="Q89" s="43">
        <f t="shared" si="49"/>
        <v>0.75</v>
      </c>
      <c r="R89" s="43">
        <f t="shared" si="49"/>
        <v>25600</v>
      </c>
      <c r="S89" s="43">
        <f t="shared" si="49"/>
        <v>100</v>
      </c>
      <c r="T89" s="43">
        <f t="shared" si="49"/>
        <v>200</v>
      </c>
      <c r="U89" s="43">
        <f t="shared" si="49"/>
        <v>100</v>
      </c>
      <c r="V89" s="43">
        <f t="shared" si="49"/>
        <v>5</v>
      </c>
      <c r="W89" s="43">
        <f t="shared" si="49"/>
        <v>200</v>
      </c>
      <c r="X89" s="43">
        <f t="shared" si="49"/>
        <v>0</v>
      </c>
      <c r="Y89" s="43">
        <f t="shared" si="49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50">P59*1</f>
        <v>350</v>
      </c>
      <c r="Q90" s="43">
        <f t="shared" si="50"/>
        <v>0.75</v>
      </c>
      <c r="R90" s="43">
        <f t="shared" si="50"/>
        <v>3000</v>
      </c>
      <c r="S90" s="43">
        <f t="shared" si="50"/>
        <v>100</v>
      </c>
      <c r="T90" s="43">
        <f t="shared" si="50"/>
        <v>200</v>
      </c>
      <c r="U90" s="43">
        <f t="shared" si="50"/>
        <v>140</v>
      </c>
      <c r="V90" s="43">
        <f t="shared" si="50"/>
        <v>5</v>
      </c>
      <c r="W90" s="43">
        <f t="shared" si="50"/>
        <v>200</v>
      </c>
      <c r="X90" s="43">
        <f t="shared" si="50"/>
        <v>0</v>
      </c>
      <c r="Y90" s="43">
        <f t="shared" si="50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51">P63*1</f>
        <v>350</v>
      </c>
      <c r="Q91" s="43">
        <f t="shared" si="51"/>
        <v>0.75</v>
      </c>
      <c r="R91" s="43">
        <f t="shared" si="51"/>
        <v>5500</v>
      </c>
      <c r="S91" s="43">
        <f t="shared" si="51"/>
        <v>100</v>
      </c>
      <c r="T91" s="43">
        <f t="shared" si="51"/>
        <v>200</v>
      </c>
      <c r="U91" s="43">
        <f t="shared" si="51"/>
        <v>180</v>
      </c>
      <c r="V91" s="43">
        <f t="shared" si="51"/>
        <v>5</v>
      </c>
      <c r="W91" s="43">
        <f t="shared" si="51"/>
        <v>200</v>
      </c>
      <c r="X91" s="43">
        <f t="shared" si="51"/>
        <v>0</v>
      </c>
      <c r="Y91" s="43">
        <f t="shared" si="51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52">P69*1</f>
        <v>350</v>
      </c>
      <c r="Q92" s="43">
        <f t="shared" si="52"/>
        <v>0.75</v>
      </c>
      <c r="R92" s="43">
        <f t="shared" si="52"/>
        <v>9250</v>
      </c>
      <c r="S92" s="43">
        <f t="shared" si="52"/>
        <v>100</v>
      </c>
      <c r="T92" s="43">
        <f t="shared" si="52"/>
        <v>200</v>
      </c>
      <c r="U92" s="43">
        <f t="shared" si="52"/>
        <v>240</v>
      </c>
      <c r="V92" s="43">
        <f t="shared" si="52"/>
        <v>5</v>
      </c>
      <c r="W92" s="43">
        <f t="shared" si="52"/>
        <v>200</v>
      </c>
      <c r="X92" s="43">
        <f t="shared" si="52"/>
        <v>5</v>
      </c>
      <c r="Y92" s="43">
        <f t="shared" si="52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53">P57*1</f>
        <v>350</v>
      </c>
      <c r="Q93" s="43">
        <f t="shared" si="53"/>
        <v>0.75</v>
      </c>
      <c r="R93" s="43">
        <f t="shared" si="53"/>
        <v>1750</v>
      </c>
      <c r="S93" s="43">
        <f t="shared" si="53"/>
        <v>100</v>
      </c>
      <c r="T93" s="43">
        <f t="shared" si="53"/>
        <v>200</v>
      </c>
      <c r="U93" s="43">
        <f t="shared" si="53"/>
        <v>120</v>
      </c>
      <c r="V93" s="43">
        <f t="shared" si="53"/>
        <v>5</v>
      </c>
      <c r="W93" s="43">
        <f t="shared" si="53"/>
        <v>200</v>
      </c>
      <c r="X93" s="43">
        <f t="shared" si="53"/>
        <v>0</v>
      </c>
      <c r="Y93" s="43">
        <f t="shared" si="53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54">P61*1</f>
        <v>350</v>
      </c>
      <c r="Q94" s="43">
        <f t="shared" si="54"/>
        <v>0.75</v>
      </c>
      <c r="R94" s="43">
        <f t="shared" si="54"/>
        <v>4250</v>
      </c>
      <c r="S94" s="43">
        <f t="shared" si="54"/>
        <v>100</v>
      </c>
      <c r="T94" s="43">
        <f t="shared" si="54"/>
        <v>200</v>
      </c>
      <c r="U94" s="43">
        <f t="shared" si="54"/>
        <v>160</v>
      </c>
      <c r="V94" s="43">
        <f t="shared" si="54"/>
        <v>5</v>
      </c>
      <c r="W94" s="43">
        <f t="shared" si="54"/>
        <v>200</v>
      </c>
      <c r="X94" s="43">
        <f t="shared" si="54"/>
        <v>0</v>
      </c>
      <c r="Y94" s="43">
        <f t="shared" si="54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55">P65*1</f>
        <v>350</v>
      </c>
      <c r="Q95" s="43">
        <f t="shared" si="55"/>
        <v>0.75</v>
      </c>
      <c r="R95" s="43">
        <f t="shared" si="55"/>
        <v>6750</v>
      </c>
      <c r="S95" s="43">
        <f t="shared" si="55"/>
        <v>100</v>
      </c>
      <c r="T95" s="43">
        <f t="shared" si="55"/>
        <v>200</v>
      </c>
      <c r="U95" s="43">
        <f t="shared" si="55"/>
        <v>200</v>
      </c>
      <c r="V95" s="43">
        <f t="shared" si="55"/>
        <v>5</v>
      </c>
      <c r="W95" s="43">
        <f t="shared" si="55"/>
        <v>200</v>
      </c>
      <c r="X95" s="43">
        <f t="shared" si="55"/>
        <v>5</v>
      </c>
      <c r="Y95" s="43">
        <f t="shared" si="55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56">P69*1</f>
        <v>350</v>
      </c>
      <c r="Q96" s="43">
        <f t="shared" si="56"/>
        <v>0.75</v>
      </c>
      <c r="R96" s="43">
        <f t="shared" si="56"/>
        <v>9250</v>
      </c>
      <c r="S96" s="43">
        <f t="shared" si="56"/>
        <v>100</v>
      </c>
      <c r="T96" s="43">
        <f t="shared" si="56"/>
        <v>200</v>
      </c>
      <c r="U96" s="43">
        <f t="shared" si="56"/>
        <v>240</v>
      </c>
      <c r="V96" s="43">
        <f t="shared" si="56"/>
        <v>5</v>
      </c>
      <c r="W96" s="43">
        <f t="shared" si="56"/>
        <v>200</v>
      </c>
      <c r="X96" s="43">
        <f t="shared" si="56"/>
        <v>5</v>
      </c>
      <c r="Y96" s="43">
        <f t="shared" si="56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57">P4</f>
        <v>350</v>
      </c>
      <c r="Q97" s="43">
        <f t="shared" si="57"/>
        <v>1</v>
      </c>
      <c r="R97" s="43">
        <f t="shared" si="57"/>
        <v>10</v>
      </c>
      <c r="S97" s="43">
        <f t="shared" si="57"/>
        <v>1</v>
      </c>
      <c r="T97" s="43">
        <f t="shared" si="57"/>
        <v>200</v>
      </c>
      <c r="U97" s="43">
        <f t="shared" si="57"/>
        <v>10</v>
      </c>
      <c r="V97" s="43">
        <f t="shared" si="57"/>
        <v>0</v>
      </c>
      <c r="W97" s="43">
        <f t="shared" si="57"/>
        <v>0</v>
      </c>
      <c r="X97" s="43">
        <f t="shared" si="57"/>
        <v>0</v>
      </c>
      <c r="Y97" s="43">
        <f t="shared" si="57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58">M4</f>
        <v>5</v>
      </c>
      <c r="N98" s="43">
        <v>25000</v>
      </c>
      <c r="O98" s="43">
        <f t="shared" si="58"/>
        <v>100</v>
      </c>
      <c r="P98" s="43">
        <f t="shared" si="58"/>
        <v>350</v>
      </c>
      <c r="Q98" s="43">
        <f t="shared" si="58"/>
        <v>1</v>
      </c>
      <c r="R98" s="43">
        <f t="shared" si="58"/>
        <v>10</v>
      </c>
      <c r="S98" s="43">
        <f t="shared" si="58"/>
        <v>1</v>
      </c>
      <c r="T98" s="43">
        <v>400</v>
      </c>
      <c r="U98" s="43">
        <f t="shared" si="58"/>
        <v>10</v>
      </c>
      <c r="V98" s="43">
        <v>5</v>
      </c>
      <c r="W98" s="43">
        <v>50</v>
      </c>
      <c r="X98" s="43">
        <f t="shared" si="58"/>
        <v>0</v>
      </c>
      <c r="Y98" s="43">
        <f t="shared" si="58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2019-05-31T15:03:55Z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