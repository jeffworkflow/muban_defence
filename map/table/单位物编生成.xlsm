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882A035-6A52-405E-B285-2EC1787266B9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1" i="29" l="1"/>
  <c r="M111" i="29"/>
  <c r="L111" i="29"/>
  <c r="L112" i="29" s="1"/>
  <c r="L113" i="29" s="1"/>
  <c r="L114" i="29" s="1"/>
  <c r="M113" i="29"/>
  <c r="M114" i="29"/>
  <c r="M112" i="29"/>
  <c r="N112" i="29"/>
  <c r="N113" i="29" s="1"/>
  <c r="N114" i="29" s="1"/>
  <c r="Q111" i="29" l="1"/>
  <c r="Q112" i="29" s="1"/>
  <c r="V111" i="29"/>
  <c r="V112" i="29" s="1"/>
  <c r="W111" i="29"/>
  <c r="W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X91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X45" i="29"/>
  <c r="U45" i="29"/>
  <c r="T45" i="29"/>
  <c r="Q45" i="29"/>
  <c r="P45" i="29"/>
  <c r="O45" i="29"/>
  <c r="X44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/>
  <c r="U62" i="29" s="1"/>
  <c r="U40" i="29" s="1"/>
  <c r="P83" i="29" l="1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V114" i="29"/>
  <c r="V113" i="29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N29" i="29"/>
  <c r="L29" i="29"/>
  <c r="L40" i="29"/>
  <c r="L43" i="29"/>
  <c r="N43" i="29"/>
  <c r="N40" i="29" s="1"/>
  <c r="N44" i="29" s="1"/>
  <c r="N41" i="29" s="1"/>
  <c r="N45" i="29" s="1"/>
  <c r="N42" i="29" s="1"/>
  <c r="L49" i="29"/>
  <c r="W113" i="29"/>
  <c r="W114" i="29" s="1"/>
  <c r="Q113" i="29"/>
  <c r="Q114" i="29" s="1"/>
  <c r="N49" i="29"/>
  <c r="X113" i="29"/>
  <c r="X114" i="29" s="1"/>
  <c r="P114" i="29"/>
  <c r="P113" i="29"/>
  <c r="L44" i="29"/>
  <c r="L41" i="29" s="1"/>
  <c r="L45" i="29" s="1"/>
  <c r="L42" i="29" s="1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11" i="29" l="1"/>
  <c r="R10" i="29"/>
  <c r="R52" i="29" s="1"/>
  <c r="R80" i="29" s="1"/>
  <c r="R43" i="29" s="1"/>
  <c r="L51" i="29"/>
  <c r="L52" i="29" s="1"/>
  <c r="L53" i="29" s="1"/>
  <c r="L14" i="29"/>
  <c r="L15" i="29" s="1"/>
  <c r="L16" i="29" s="1"/>
  <c r="L17" i="29" s="1"/>
  <c r="L18" i="29" s="1"/>
  <c r="P86" i="29"/>
  <c r="L54" i="29" l="1"/>
  <c r="L72" i="29" s="1"/>
  <c r="L79" i="29"/>
  <c r="L31" i="29"/>
  <c r="L30" i="29" s="1"/>
  <c r="L55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56" i="29"/>
  <c r="L57" i="29" s="1"/>
  <c r="L66" i="29" l="1"/>
  <c r="L25" i="29"/>
  <c r="L81" i="29"/>
  <c r="L93" i="29" s="1"/>
  <c r="L89" i="29" s="1"/>
  <c r="L58" i="29"/>
  <c r="L59" i="29" s="1"/>
  <c r="N51" i="29"/>
  <c r="N52" i="29" s="1"/>
  <c r="N53" i="29" s="1"/>
  <c r="R13" i="29"/>
  <c r="R55" i="29" s="1"/>
  <c r="R73" i="29" s="1"/>
  <c r="N30" i="29"/>
  <c r="R30" i="29" s="1"/>
  <c r="N14" i="29"/>
  <c r="N79" i="29" l="1"/>
  <c r="N54" i="29"/>
  <c r="L82" i="29"/>
  <c r="L60" i="29"/>
  <c r="L61" i="29" s="1"/>
  <c r="N15" i="29"/>
  <c r="R14" i="29"/>
  <c r="L67" i="29"/>
  <c r="L26" i="29"/>
  <c r="R56" i="29" l="1"/>
  <c r="R84" i="29" s="1"/>
  <c r="R40" i="29"/>
  <c r="R44" i="29"/>
  <c r="N16" i="29"/>
  <c r="R15" i="29"/>
  <c r="R57" i="29" s="1"/>
  <c r="N55" i="29"/>
  <c r="N72" i="29"/>
  <c r="L73" i="29"/>
  <c r="L62" i="29"/>
  <c r="L63" i="29" s="1"/>
  <c r="L83" i="29"/>
  <c r="L94" i="29" s="1"/>
  <c r="L90" i="29" s="1"/>
  <c r="L68" i="29"/>
  <c r="L27" i="29"/>
  <c r="L69" i="29" l="1"/>
  <c r="L28" i="29"/>
  <c r="L70" i="29" s="1"/>
  <c r="L32" i="29" s="1"/>
  <c r="R85" i="29"/>
  <c r="R93" i="29"/>
  <c r="L84" i="29"/>
  <c r="L77" i="29"/>
  <c r="L64" i="29"/>
  <c r="L65" i="29" s="1"/>
  <c r="N80" i="29"/>
  <c r="N76" i="29"/>
  <c r="N56" i="29"/>
  <c r="N57" i="29" s="1"/>
  <c r="R16" i="29"/>
  <c r="R41" i="29" s="1"/>
  <c r="N17" i="29"/>
  <c r="L33" i="29" l="1"/>
  <c r="N81" i="29"/>
  <c r="N93" i="29" s="1"/>
  <c r="N89" i="29" s="1"/>
  <c r="N58" i="29"/>
  <c r="N59" i="29" s="1"/>
  <c r="N18" i="29"/>
  <c r="R17" i="29"/>
  <c r="R59" i="29" s="1"/>
  <c r="L78" i="29"/>
  <c r="L85" i="29"/>
  <c r="L95" i="29" s="1"/>
  <c r="L91" i="29" s="1"/>
  <c r="L74" i="29"/>
  <c r="N82" i="29" l="1"/>
  <c r="N60" i="29"/>
  <c r="N61" i="29" s="1"/>
  <c r="R87" i="29"/>
  <c r="R90" i="29"/>
  <c r="R38" i="29" s="1"/>
  <c r="N31" i="29"/>
  <c r="R31" i="29" s="1"/>
  <c r="N19" i="29"/>
  <c r="R18" i="29"/>
  <c r="L86" i="29"/>
  <c r="L87" i="29" s="1"/>
  <c r="R19" i="29" l="1"/>
  <c r="R61" i="29" s="1"/>
  <c r="R94" i="29" s="1"/>
  <c r="N20" i="29"/>
  <c r="N73" i="29"/>
  <c r="N62" i="29"/>
  <c r="N63" i="29" s="1"/>
  <c r="N83" i="29"/>
  <c r="N94" i="29" s="1"/>
  <c r="N90" i="29" s="1"/>
  <c r="L34" i="29"/>
  <c r="L96" i="29"/>
  <c r="R60" i="29"/>
  <c r="R42" i="29"/>
  <c r="R37" i="29" s="1"/>
  <c r="N84" i="29" l="1"/>
  <c r="N77" i="29"/>
  <c r="N64" i="29"/>
  <c r="N65" i="29" s="1"/>
  <c r="R20" i="29"/>
  <c r="R62" i="29" s="1"/>
  <c r="N21" i="29"/>
  <c r="R88" i="29"/>
  <c r="R74" i="29"/>
  <c r="R111" i="29" s="1"/>
  <c r="R112" i="29" s="1"/>
  <c r="R113" i="29" s="1"/>
  <c r="R114" i="29" s="1"/>
  <c r="L109" i="29"/>
  <c r="L88" i="29" s="1"/>
  <c r="L92" i="29"/>
  <c r="N78" i="29" l="1"/>
  <c r="N85" i="29"/>
  <c r="N74" i="29"/>
  <c r="R21" i="29"/>
  <c r="R63" i="29" s="1"/>
  <c r="R91" i="29" s="1"/>
  <c r="N22" i="29"/>
  <c r="R22" i="29" l="1"/>
  <c r="R64" i="29" s="1"/>
  <c r="R78" i="29" s="1"/>
  <c r="N23" i="29"/>
  <c r="N95" i="29"/>
  <c r="N91" i="29" s="1"/>
  <c r="N86" i="29"/>
  <c r="N87" i="29" s="1"/>
  <c r="N96" i="29" l="1"/>
  <c r="N24" i="29"/>
  <c r="R23" i="29"/>
  <c r="R65" i="29" l="1"/>
  <c r="R95" i="29" s="1"/>
  <c r="R45" i="29"/>
  <c r="N66" i="29"/>
  <c r="R24" i="29"/>
  <c r="R66" i="29" s="1"/>
  <c r="N25" i="29"/>
  <c r="N109" i="29"/>
  <c r="N88" i="29" s="1"/>
  <c r="N92" i="29"/>
  <c r="N67" i="29" l="1"/>
  <c r="N26" i="29"/>
  <c r="R25" i="29"/>
  <c r="R67" i="29" s="1"/>
  <c r="R26" i="29" l="1"/>
  <c r="R68" i="29" s="1"/>
  <c r="R83" i="29" s="1"/>
  <c r="N68" i="29"/>
  <c r="N27" i="29"/>
  <c r="N69" i="29" l="1"/>
  <c r="N28" i="29"/>
  <c r="R27" i="29"/>
  <c r="R69" i="29" s="1"/>
  <c r="R96" i="29" l="1"/>
  <c r="R58" i="29" s="1"/>
  <c r="R92" i="29"/>
  <c r="N33" i="29"/>
  <c r="N70" i="29"/>
  <c r="N32" i="29" s="1"/>
  <c r="R32" i="29" s="1"/>
  <c r="R28" i="29"/>
  <c r="R70" i="29" s="1"/>
  <c r="R33" i="29" l="1"/>
  <c r="R50" i="29" s="1"/>
  <c r="R79" i="29" s="1"/>
  <c r="R39" i="29" s="1"/>
  <c r="N34" i="29"/>
  <c r="R34" i="29" s="1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<sst xmlns="http://schemas.openxmlformats.org/spreadsheetml/2006/main" count="859" uniqueCount="440">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</sst>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28" activePane="bottomLeft" state="frozen"/>
      <selection activeCell="D1" sqref="D1"/>
      <selection pane="bottomLeft" activeCell="H44" sqref="H44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1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47385000</v>
      </c>
      <c r="M14" s="35">
        <v>1642.68</v>
      </c>
      <c r="N14" s="35">
        <f>N13*1.3</f>
        <v>91260000</v>
      </c>
      <c r="O14" s="35">
        <v>10000</v>
      </c>
      <c r="P14" s="35">
        <v>400</v>
      </c>
      <c r="Q14" s="36">
        <v>1</v>
      </c>
      <c r="R14" s="35">
        <f t="shared" si="0"/>
        <v>9126</v>
      </c>
      <c r="S14" s="35">
        <f t="shared" si="1"/>
        <v>100</v>
      </c>
      <c r="T14" s="37">
        <v>200</v>
      </c>
      <c r="U14" s="7">
        <v>110</v>
      </c>
      <c r="V14" s="42">
        <v>10</v>
      </c>
      <c r="W14" s="42">
        <v>1024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61600500</v>
      </c>
      <c r="M15" s="35">
        <v>2135.4840000000004</v>
      </c>
      <c r="N15" s="35">
        <f>N14*1.3</f>
        <v>118638000</v>
      </c>
      <c r="O15" s="35">
        <v>10000</v>
      </c>
      <c r="P15" s="35">
        <v>405</v>
      </c>
      <c r="Q15" s="36">
        <v>1</v>
      </c>
      <c r="R15" s="35">
        <f t="shared" si="0"/>
        <v>11863.800000000001</v>
      </c>
      <c r="S15" s="35">
        <f t="shared" si="1"/>
        <v>100</v>
      </c>
      <c r="T15" s="37">
        <v>200</v>
      </c>
      <c r="U15" s="7">
        <v>120</v>
      </c>
      <c r="V15" s="42">
        <v>10</v>
      </c>
      <c r="W15" s="42">
        <v>1024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2">L15*1.2</f>
        <v>73920600</v>
      </c>
      <c r="M16" s="35">
        <v>2562.5808000000002</v>
      </c>
      <c r="N16" s="35">
        <f>N15*1.2</f>
        <v>142365600</v>
      </c>
      <c r="O16" s="35">
        <v>10000</v>
      </c>
      <c r="P16" s="35">
        <v>410</v>
      </c>
      <c r="Q16" s="36">
        <v>1</v>
      </c>
      <c r="R16" s="35">
        <f t="shared" si="0"/>
        <v>14236.560000000001</v>
      </c>
      <c r="S16" s="35">
        <f t="shared" si="1"/>
        <v>100</v>
      </c>
      <c r="T16" s="37">
        <v>200</v>
      </c>
      <c r="U16" s="7">
        <v>130</v>
      </c>
      <c r="V16" s="42">
        <v>10</v>
      </c>
      <c r="W16" s="42">
        <v>1024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2"/>
        <v>88704720</v>
      </c>
      <c r="M17" s="35">
        <v>3075.0969600000003</v>
      </c>
      <c r="N17" s="35">
        <f>N16*1.2</f>
        <v>170838720</v>
      </c>
      <c r="O17" s="35">
        <v>10000</v>
      </c>
      <c r="P17" s="35">
        <v>415</v>
      </c>
      <c r="Q17" s="36">
        <v>1</v>
      </c>
      <c r="R17" s="35">
        <f t="shared" si="0"/>
        <v>17083.871999999999</v>
      </c>
      <c r="S17" s="35">
        <f t="shared" si="1"/>
        <v>100</v>
      </c>
      <c r="T17" s="37">
        <v>200</v>
      </c>
      <c r="U17" s="7">
        <v>140</v>
      </c>
      <c r="V17" s="42">
        <v>10</v>
      </c>
      <c r="W17" s="42">
        <v>1024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2"/>
        <v>106445664</v>
      </c>
      <c r="M18" s="35">
        <v>3690.116352</v>
      </c>
      <c r="N18" s="35">
        <f>N17*1.2</f>
        <v>205006464</v>
      </c>
      <c r="O18" s="35">
        <v>10000</v>
      </c>
      <c r="P18" s="35">
        <v>420</v>
      </c>
      <c r="Q18" s="36">
        <v>1</v>
      </c>
      <c r="R18" s="35">
        <f t="shared" si="0"/>
        <v>20500.646400000001</v>
      </c>
      <c r="S18" s="35">
        <f t="shared" si="1"/>
        <v>100</v>
      </c>
      <c r="T18" s="37">
        <v>200</v>
      </c>
      <c r="U18" s="7">
        <v>150</v>
      </c>
      <c r="V18" s="42">
        <v>10</v>
      </c>
      <c r="W18" s="42">
        <v>1024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2"/>
        <v>127734796.8</v>
      </c>
      <c r="M19" s="35">
        <v>4059.1279872000005</v>
      </c>
      <c r="N19" s="35">
        <f t="shared" ref="N19:N28" si="3">N18*1.1</f>
        <v>225507110.40000001</v>
      </c>
      <c r="O19" s="35">
        <v>10000</v>
      </c>
      <c r="P19" s="35">
        <v>425</v>
      </c>
      <c r="Q19" s="36">
        <v>1</v>
      </c>
      <c r="R19" s="35">
        <f t="shared" si="0"/>
        <v>22550.711040000002</v>
      </c>
      <c r="S19" s="35">
        <f t="shared" si="1"/>
        <v>100</v>
      </c>
      <c r="T19" s="37">
        <v>200</v>
      </c>
      <c r="U19" s="7">
        <v>160</v>
      </c>
      <c r="V19" s="42">
        <v>10</v>
      </c>
      <c r="W19" s="42">
        <v>1536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2"/>
        <v>153281756.16</v>
      </c>
      <c r="M20" s="35">
        <v>4465.0407859200013</v>
      </c>
      <c r="N20" s="35">
        <f t="shared" si="3"/>
        <v>248057821.44000003</v>
      </c>
      <c r="O20" s="35">
        <v>10000</v>
      </c>
      <c r="P20" s="35">
        <v>430</v>
      </c>
      <c r="Q20" s="36">
        <v>1</v>
      </c>
      <c r="R20" s="35">
        <f t="shared" si="0"/>
        <v>24805.782144000004</v>
      </c>
      <c r="S20" s="35">
        <f t="shared" si="1"/>
        <v>100</v>
      </c>
      <c r="T20" s="37">
        <v>200</v>
      </c>
      <c r="U20" s="7">
        <v>170</v>
      </c>
      <c r="V20" s="42">
        <v>10</v>
      </c>
      <c r="W20" s="42">
        <v>1536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2"/>
        <v>183938107.39199999</v>
      </c>
      <c r="M21" s="35">
        <v>4911.5448645120014</v>
      </c>
      <c r="N21" s="35">
        <f t="shared" si="3"/>
        <v>272863603.58400005</v>
      </c>
      <c r="O21" s="35">
        <v>10000</v>
      </c>
      <c r="P21" s="35">
        <v>435</v>
      </c>
      <c r="Q21" s="36">
        <v>1</v>
      </c>
      <c r="R21" s="35">
        <f t="shared" si="0"/>
        <v>27286.360358400005</v>
      </c>
      <c r="S21" s="35">
        <f t="shared" si="1"/>
        <v>100</v>
      </c>
      <c r="T21" s="37">
        <v>200</v>
      </c>
      <c r="U21" s="7">
        <v>180</v>
      </c>
      <c r="V21" s="42">
        <v>10</v>
      </c>
      <c r="W21" s="42">
        <v>1536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2"/>
        <v>220725728.87039998</v>
      </c>
      <c r="M22" s="35">
        <v>5402.6993509632021</v>
      </c>
      <c r="N22" s="35">
        <f t="shared" si="3"/>
        <v>300149963.9424001</v>
      </c>
      <c r="O22" s="35">
        <v>10000</v>
      </c>
      <c r="P22" s="35">
        <v>440</v>
      </c>
      <c r="Q22" s="36">
        <v>1</v>
      </c>
      <c r="R22" s="35">
        <f t="shared" si="0"/>
        <v>30014.99639424001</v>
      </c>
      <c r="S22" s="35">
        <f t="shared" si="1"/>
        <v>100</v>
      </c>
      <c r="T22" s="37">
        <v>200</v>
      </c>
      <c r="U22" s="7">
        <v>190</v>
      </c>
      <c r="V22" s="42">
        <v>10</v>
      </c>
      <c r="W22" s="42">
        <v>1536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2"/>
        <v>264870874.64447996</v>
      </c>
      <c r="M23" s="35">
        <v>5942.9692860595233</v>
      </c>
      <c r="N23" s="35">
        <f t="shared" si="3"/>
        <v>330164960.33664012</v>
      </c>
      <c r="O23" s="35">
        <v>10000</v>
      </c>
      <c r="P23" s="35">
        <v>445</v>
      </c>
      <c r="Q23" s="36">
        <v>1</v>
      </c>
      <c r="R23" s="35">
        <f t="shared" si="0"/>
        <v>33016.496033664014</v>
      </c>
      <c r="S23" s="35">
        <f t="shared" si="1"/>
        <v>100</v>
      </c>
      <c r="T23" s="37">
        <v>200</v>
      </c>
      <c r="U23" s="7">
        <v>200</v>
      </c>
      <c r="V23" s="42">
        <v>10</v>
      </c>
      <c r="W23" s="42">
        <v>1536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2"/>
        <v>317845049.57337594</v>
      </c>
      <c r="M24" s="35">
        <v>6537.2662146654757</v>
      </c>
      <c r="N24" s="35">
        <f t="shared" si="3"/>
        <v>363181456.37030417</v>
      </c>
      <c r="O24" s="35">
        <v>10000</v>
      </c>
      <c r="P24" s="35">
        <v>450</v>
      </c>
      <c r="Q24" s="36">
        <v>1</v>
      </c>
      <c r="R24" s="35">
        <f t="shared" si="0"/>
        <v>36318.145637030415</v>
      </c>
      <c r="S24" s="35">
        <f t="shared" si="1"/>
        <v>100</v>
      </c>
      <c r="T24" s="37">
        <v>200</v>
      </c>
      <c r="U24" s="7">
        <v>210</v>
      </c>
      <c r="V24" s="42">
        <v>10</v>
      </c>
      <c r="W24" s="42">
        <v>2560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2"/>
        <v>381414059.48805112</v>
      </c>
      <c r="M25" s="35">
        <v>7190.9928361320244</v>
      </c>
      <c r="N25" s="35">
        <f t="shared" si="3"/>
        <v>399499602.00733459</v>
      </c>
      <c r="O25" s="35">
        <v>10000</v>
      </c>
      <c r="P25" s="35">
        <v>455</v>
      </c>
      <c r="Q25" s="36">
        <v>1</v>
      </c>
      <c r="R25" s="35">
        <f t="shared" si="0"/>
        <v>39949.960200733462</v>
      </c>
      <c r="S25" s="35">
        <f t="shared" si="1"/>
        <v>100</v>
      </c>
      <c r="T25" s="37">
        <v>200</v>
      </c>
      <c r="U25" s="7">
        <v>220</v>
      </c>
      <c r="V25" s="42">
        <v>10</v>
      </c>
      <c r="W25" s="42">
        <v>2560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2"/>
        <v>457696871.3856613</v>
      </c>
      <c r="M26" s="35">
        <v>7910.0921197452271</v>
      </c>
      <c r="N26" s="35">
        <f t="shared" si="3"/>
        <v>439449562.20806807</v>
      </c>
      <c r="O26" s="35">
        <v>10000</v>
      </c>
      <c r="P26" s="35">
        <v>460</v>
      </c>
      <c r="Q26" s="36">
        <v>1</v>
      </c>
      <c r="R26" s="35">
        <f t="shared" si="0"/>
        <v>43944.956220806809</v>
      </c>
      <c r="S26" s="35">
        <f t="shared" si="1"/>
        <v>100</v>
      </c>
      <c r="T26" s="37">
        <v>200</v>
      </c>
      <c r="U26" s="7">
        <v>230</v>
      </c>
      <c r="V26" s="42">
        <v>10</v>
      </c>
      <c r="W26" s="42">
        <v>2560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2"/>
        <v>549236245.66279352</v>
      </c>
      <c r="M27" s="35">
        <v>8701.1013317197503</v>
      </c>
      <c r="N27" s="35">
        <f t="shared" si="3"/>
        <v>483394518.42887491</v>
      </c>
      <c r="O27" s="35">
        <v>10000</v>
      </c>
      <c r="P27" s="35">
        <v>465</v>
      </c>
      <c r="Q27" s="36">
        <v>1</v>
      </c>
      <c r="R27" s="35">
        <f t="shared" si="0"/>
        <v>48339.451842887494</v>
      </c>
      <c r="S27" s="35">
        <f t="shared" si="1"/>
        <v>100</v>
      </c>
      <c r="T27" s="37">
        <v>200</v>
      </c>
      <c r="U27" s="7">
        <v>240</v>
      </c>
      <c r="V27" s="42">
        <v>10</v>
      </c>
      <c r="W27" s="42">
        <v>2560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2"/>
        <v>659083494.79535222</v>
      </c>
      <c r="M28" s="35">
        <v>9571.211464891725</v>
      </c>
      <c r="N28" s="35">
        <f t="shared" si="3"/>
        <v>531733970.27176243</v>
      </c>
      <c r="O28" s="35">
        <v>10000</v>
      </c>
      <c r="P28" s="35">
        <v>470</v>
      </c>
      <c r="Q28" s="36">
        <v>1</v>
      </c>
      <c r="R28" s="35">
        <f t="shared" si="0"/>
        <v>53173.397027176245</v>
      </c>
      <c r="S28" s="35">
        <f t="shared" si="1"/>
        <v>100</v>
      </c>
      <c r="T28" s="37">
        <v>200</v>
      </c>
      <c r="U28" s="7">
        <v>250</v>
      </c>
      <c r="V28" s="42">
        <v>10</v>
      </c>
      <c r="W28" s="42">
        <v>2560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v>720</v>
      </c>
      <c r="N29" s="7">
        <f>N8*5</f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v>6318</v>
      </c>
      <c r="N30" s="7">
        <f>N13*5</f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532228320</v>
      </c>
      <c r="M31" s="7">
        <v>18450.581760000001</v>
      </c>
      <c r="N31" s="7">
        <f>N18*5</f>
        <v>1025032320</v>
      </c>
      <c r="O31" s="35">
        <v>10000</v>
      </c>
      <c r="P31" s="35">
        <v>410</v>
      </c>
      <c r="Q31" s="36">
        <v>0.8</v>
      </c>
      <c r="R31" s="35">
        <f t="shared" si="0"/>
        <v>102503.232</v>
      </c>
      <c r="S31" s="35">
        <f t="shared" si="1"/>
        <v>100</v>
      </c>
      <c r="T31" s="7">
        <v>200</v>
      </c>
      <c r="U31" s="7">
        <f>U18*5</f>
        <v>750</v>
      </c>
      <c r="V31" s="42">
        <v>10</v>
      </c>
      <c r="W31" s="42">
        <v>10240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1324354373.2223997</v>
      </c>
      <c r="M32" s="7">
        <v>29714.846430297614</v>
      </c>
      <c r="N32" s="7">
        <f>N23*5</f>
        <v>1650824801.6832006</v>
      </c>
      <c r="O32" s="35">
        <v>10000</v>
      </c>
      <c r="P32" s="35">
        <v>435</v>
      </c>
      <c r="Q32" s="36">
        <v>0.7</v>
      </c>
      <c r="R32" s="35">
        <f t="shared" si="0"/>
        <v>165082.48016832006</v>
      </c>
      <c r="S32" s="35">
        <f t="shared" si="1"/>
        <v>100</v>
      </c>
      <c r="T32" s="7">
        <v>200</v>
      </c>
      <c r="U32" s="7">
        <f>U23*5</f>
        <v>1000</v>
      </c>
      <c r="V32" s="42">
        <v>10</v>
      </c>
      <c r="W32" s="42">
        <v>12800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1986531559.8335996</v>
      </c>
      <c r="M33" s="7">
        <v>47856.057324458627</v>
      </c>
      <c r="N33" s="7">
        <f>N28*5</f>
        <v>2658669851.3588123</v>
      </c>
      <c r="O33" s="35">
        <v>10000</v>
      </c>
      <c r="P33" s="7">
        <v>470</v>
      </c>
      <c r="Q33" s="36">
        <v>0.5</v>
      </c>
      <c r="R33" s="35">
        <f t="shared" si="0"/>
        <v>265866.98513588123</v>
      </c>
      <c r="S33" s="35">
        <f t="shared" si="1"/>
        <v>100</v>
      </c>
      <c r="T33" s="7">
        <v>200</v>
      </c>
      <c r="U33" s="7">
        <f>U28*5</f>
        <v>1250</v>
      </c>
      <c r="V33" s="42">
        <v>10</v>
      </c>
      <c r="W33" s="42">
        <v>25600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L33*0.7</f>
        <v>1390572091.8835196</v>
      </c>
      <c r="M34" s="39">
        <v>33499.24012712104</v>
      </c>
      <c r="N34" s="39">
        <f>N33*0.7</f>
        <v>1861068895.9511685</v>
      </c>
      <c r="O34" s="35">
        <v>10000</v>
      </c>
      <c r="P34" s="39">
        <v>350</v>
      </c>
      <c r="Q34" s="40">
        <v>0.6</v>
      </c>
      <c r="R34" s="39">
        <f t="shared" si="0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15360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4">O4</f>
        <v>100</v>
      </c>
      <c r="P35" s="39">
        <f t="shared" si="4"/>
        <v>350</v>
      </c>
      <c r="Q35" s="40">
        <f t="shared" si="4"/>
        <v>1</v>
      </c>
      <c r="R35" s="39">
        <f t="shared" si="4"/>
        <v>10</v>
      </c>
      <c r="S35" s="39">
        <f t="shared" si="4"/>
        <v>1</v>
      </c>
      <c r="T35" s="39">
        <f t="shared" si="4"/>
        <v>200</v>
      </c>
      <c r="U35" s="39">
        <f t="shared" si="4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5">O6</f>
        <v>100</v>
      </c>
      <c r="P36" s="39">
        <f t="shared" si="5"/>
        <v>360</v>
      </c>
      <c r="Q36" s="40">
        <f t="shared" si="5"/>
        <v>1</v>
      </c>
      <c r="R36" s="39">
        <f t="shared" si="5"/>
        <v>200</v>
      </c>
      <c r="S36" s="39">
        <f t="shared" si="5"/>
        <v>1</v>
      </c>
      <c r="T36" s="39">
        <f t="shared" si="5"/>
        <v>200</v>
      </c>
      <c r="U36" s="39">
        <f t="shared" si="5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6">O8</f>
        <v>1000</v>
      </c>
      <c r="P37" s="39">
        <f t="shared" si="6"/>
        <v>370</v>
      </c>
      <c r="Q37" s="40">
        <f t="shared" si="6"/>
        <v>1</v>
      </c>
      <c r="R37" s="39">
        <f t="shared" si="6"/>
        <v>800</v>
      </c>
      <c r="S37" s="39">
        <f t="shared" si="6"/>
        <v>10</v>
      </c>
      <c r="T37" s="39">
        <f t="shared" si="6"/>
        <v>200</v>
      </c>
      <c r="U37" s="39">
        <f t="shared" si="6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7">O10</f>
        <v>10000</v>
      </c>
      <c r="P38" s="39">
        <f t="shared" si="7"/>
        <v>380</v>
      </c>
      <c r="Q38" s="40">
        <f t="shared" si="7"/>
        <v>1</v>
      </c>
      <c r="R38" s="39">
        <f t="shared" si="7"/>
        <v>2400</v>
      </c>
      <c r="S38" s="39">
        <f t="shared" si="7"/>
        <v>100</v>
      </c>
      <c r="T38" s="39">
        <f t="shared" si="7"/>
        <v>200</v>
      </c>
      <c r="U38" s="39">
        <f t="shared" si="7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8">O12</f>
        <v>10000</v>
      </c>
      <c r="P39" s="39">
        <f t="shared" si="8"/>
        <v>390</v>
      </c>
      <c r="Q39" s="40">
        <f t="shared" si="8"/>
        <v>1</v>
      </c>
      <c r="R39" s="39">
        <f t="shared" si="8"/>
        <v>5400</v>
      </c>
      <c r="S39" s="39">
        <f t="shared" si="8"/>
        <v>100</v>
      </c>
      <c r="T39" s="39">
        <f t="shared" si="8"/>
        <v>200</v>
      </c>
      <c r="U39" s="39">
        <f t="shared" si="8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L43*1.5</f>
        <v>12000000</v>
      </c>
      <c r="M40" s="39">
        <v>270</v>
      </c>
      <c r="N40" s="39">
        <f>N43*1.5</f>
        <v>24000000</v>
      </c>
      <c r="O40" s="39">
        <f t="shared" ref="O40:U40" si="9">O14</f>
        <v>10000</v>
      </c>
      <c r="P40" s="39">
        <f t="shared" si="9"/>
        <v>400</v>
      </c>
      <c r="Q40" s="40">
        <f t="shared" si="9"/>
        <v>1</v>
      </c>
      <c r="R40" s="39">
        <f t="shared" si="9"/>
        <v>9126</v>
      </c>
      <c r="S40" s="39">
        <f t="shared" si="9"/>
        <v>100</v>
      </c>
      <c r="T40" s="39">
        <f t="shared" si="9"/>
        <v>200</v>
      </c>
      <c r="U40" s="39">
        <f t="shared" si="9"/>
        <v>110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L44*1.5</f>
        <v>27000000</v>
      </c>
      <c r="M41" s="39">
        <v>607.5</v>
      </c>
      <c r="N41" s="39">
        <f>N44*1.5</f>
        <v>54000000</v>
      </c>
      <c r="O41" s="39">
        <f t="shared" ref="O41:U41" si="10">O16</f>
        <v>10000</v>
      </c>
      <c r="P41" s="39">
        <f t="shared" si="10"/>
        <v>410</v>
      </c>
      <c r="Q41" s="40">
        <f t="shared" si="10"/>
        <v>1</v>
      </c>
      <c r="R41" s="39">
        <f t="shared" si="10"/>
        <v>14236.560000000001</v>
      </c>
      <c r="S41" s="39">
        <f t="shared" si="10"/>
        <v>100</v>
      </c>
      <c r="T41" s="39">
        <f t="shared" si="10"/>
        <v>200</v>
      </c>
      <c r="U41" s="39">
        <f t="shared" si="10"/>
        <v>130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L45*1.5</f>
        <v>60750000</v>
      </c>
      <c r="M42" s="39">
        <v>1366.875</v>
      </c>
      <c r="N42" s="39">
        <f>N45*1.5</f>
        <v>121500000</v>
      </c>
      <c r="O42" s="39">
        <f t="shared" ref="O42:U42" si="11">O18</f>
        <v>10000</v>
      </c>
      <c r="P42" s="39">
        <f t="shared" si="11"/>
        <v>420</v>
      </c>
      <c r="Q42" s="40">
        <f t="shared" si="11"/>
        <v>1</v>
      </c>
      <c r="R42" s="39">
        <f t="shared" si="11"/>
        <v>20500.646400000001</v>
      </c>
      <c r="S42" s="39">
        <f t="shared" si="11"/>
        <v>100</v>
      </c>
      <c r="T42" s="39">
        <f t="shared" si="11"/>
        <v>200</v>
      </c>
      <c r="U42" s="39">
        <f t="shared" si="11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v>180</v>
      </c>
      <c r="N43" s="39">
        <f>N39*2</f>
        <v>16000000</v>
      </c>
      <c r="O43" s="39">
        <f t="shared" ref="O43:T43" si="12">O8</f>
        <v>1000</v>
      </c>
      <c r="P43" s="39">
        <f t="shared" si="12"/>
        <v>370</v>
      </c>
      <c r="Q43" s="40">
        <f t="shared" si="12"/>
        <v>1</v>
      </c>
      <c r="R43" s="39">
        <f t="shared" si="12"/>
        <v>800</v>
      </c>
      <c r="S43" s="39">
        <f t="shared" si="12"/>
        <v>10</v>
      </c>
      <c r="T43" s="39">
        <f t="shared" si="12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L40*1.5</f>
        <v>18000000</v>
      </c>
      <c r="M44" s="39">
        <v>405</v>
      </c>
      <c r="N44" s="39">
        <f>N40*1.5</f>
        <v>36000000</v>
      </c>
      <c r="O44" s="39">
        <f t="shared" ref="O44:U44" si="13">O14</f>
        <v>10000</v>
      </c>
      <c r="P44" s="39">
        <f t="shared" si="13"/>
        <v>400</v>
      </c>
      <c r="Q44" s="40">
        <f t="shared" si="13"/>
        <v>1</v>
      </c>
      <c r="R44" s="39">
        <f t="shared" si="13"/>
        <v>9126</v>
      </c>
      <c r="S44" s="39">
        <f t="shared" si="13"/>
        <v>100</v>
      </c>
      <c r="T44" s="39">
        <f t="shared" si="13"/>
        <v>200</v>
      </c>
      <c r="U44" s="39">
        <f t="shared" si="13"/>
        <v>110</v>
      </c>
      <c r="V44" s="39">
        <v>10</v>
      </c>
      <c r="W44" s="39">
        <v>1280</v>
      </c>
      <c r="X44" s="39">
        <f>X14</f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L41*1.5</f>
        <v>40500000</v>
      </c>
      <c r="M45" s="39">
        <v>911.25</v>
      </c>
      <c r="N45" s="39">
        <f>N41*1.5</f>
        <v>81000000</v>
      </c>
      <c r="O45" s="39">
        <f t="shared" ref="O45:U45" si="14">O23</f>
        <v>10000</v>
      </c>
      <c r="P45" s="39">
        <f t="shared" si="14"/>
        <v>445</v>
      </c>
      <c r="Q45" s="40">
        <f t="shared" si="14"/>
        <v>1</v>
      </c>
      <c r="R45" s="39">
        <f t="shared" si="14"/>
        <v>33016.496033664014</v>
      </c>
      <c r="S45" s="39">
        <f t="shared" si="14"/>
        <v>100</v>
      </c>
      <c r="T45" s="39">
        <f t="shared" si="14"/>
        <v>200</v>
      </c>
      <c r="U45" s="39">
        <f t="shared" si="14"/>
        <v>200</v>
      </c>
      <c r="V45" s="39">
        <v>10</v>
      </c>
      <c r="W45" s="39">
        <v>2048</v>
      </c>
      <c r="X45" s="39">
        <f>X23</f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 t="shared" ref="O46:O70" si="15">O4*3</f>
        <v>300</v>
      </c>
      <c r="P46" s="35">
        <f t="shared" ref="P46:P70" si="16">P4</f>
        <v>350</v>
      </c>
      <c r="Q46" s="36">
        <v>0.75</v>
      </c>
      <c r="R46" s="35">
        <f t="shared" ref="R46:U70" si="17">R4</f>
        <v>10</v>
      </c>
      <c r="S46" s="35">
        <f t="shared" si="17"/>
        <v>1</v>
      </c>
      <c r="T46" s="35">
        <f t="shared" si="17"/>
        <v>200</v>
      </c>
      <c r="U46" s="35">
        <f t="shared" si="17"/>
        <v>10</v>
      </c>
      <c r="V46" s="42">
        <v>10</v>
      </c>
      <c r="W46" s="42">
        <v>1024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>N46*1.25</f>
        <v>9375000</v>
      </c>
      <c r="O47" s="39">
        <f t="shared" si="15"/>
        <v>300</v>
      </c>
      <c r="P47" s="35">
        <f t="shared" si="16"/>
        <v>355</v>
      </c>
      <c r="Q47" s="36">
        <v>0.75</v>
      </c>
      <c r="R47" s="35">
        <f t="shared" si="17"/>
        <v>100</v>
      </c>
      <c r="S47" s="35">
        <f t="shared" si="17"/>
        <v>1</v>
      </c>
      <c r="T47" s="35">
        <f t="shared" si="17"/>
        <v>200</v>
      </c>
      <c r="U47" s="35">
        <f t="shared" si="17"/>
        <v>20</v>
      </c>
      <c r="V47" s="42">
        <v>10</v>
      </c>
      <c r="W47" s="42">
        <v>1024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15"/>
        <v>300</v>
      </c>
      <c r="P48" s="35">
        <f t="shared" si="16"/>
        <v>360</v>
      </c>
      <c r="Q48" s="36">
        <v>0.75</v>
      </c>
      <c r="R48" s="35">
        <f t="shared" si="17"/>
        <v>200</v>
      </c>
      <c r="S48" s="35">
        <f t="shared" si="17"/>
        <v>1</v>
      </c>
      <c r="T48" s="35">
        <f t="shared" si="17"/>
        <v>200</v>
      </c>
      <c r="U48" s="35">
        <f t="shared" si="17"/>
        <v>30</v>
      </c>
      <c r="V48" s="42">
        <v>10</v>
      </c>
      <c r="W48" s="42">
        <v>1024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15"/>
        <v>3000</v>
      </c>
      <c r="P49" s="35">
        <f t="shared" si="16"/>
        <v>365</v>
      </c>
      <c r="Q49" s="36">
        <v>0.75</v>
      </c>
      <c r="R49" s="35">
        <f t="shared" si="17"/>
        <v>400</v>
      </c>
      <c r="S49" s="35">
        <f t="shared" si="17"/>
        <v>10</v>
      </c>
      <c r="T49" s="35">
        <f t="shared" si="17"/>
        <v>200</v>
      </c>
      <c r="U49" s="35">
        <f t="shared" si="17"/>
        <v>40</v>
      </c>
      <c r="V49" s="42">
        <v>10</v>
      </c>
      <c r="W49" s="42">
        <v>1024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15"/>
        <v>3000</v>
      </c>
      <c r="P50" s="35">
        <f t="shared" si="16"/>
        <v>370</v>
      </c>
      <c r="Q50" s="36">
        <v>0.75</v>
      </c>
      <c r="R50" s="35">
        <f t="shared" si="17"/>
        <v>800</v>
      </c>
      <c r="S50" s="35">
        <f t="shared" si="17"/>
        <v>10</v>
      </c>
      <c r="T50" s="35">
        <f t="shared" si="17"/>
        <v>200</v>
      </c>
      <c r="U50" s="35">
        <f t="shared" si="17"/>
        <v>50</v>
      </c>
      <c r="V50" s="42">
        <v>10</v>
      </c>
      <c r="W50" s="42">
        <v>1536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168.75</v>
      </c>
      <c r="N51" s="39">
        <f>N50*1.25</f>
        <v>62500000</v>
      </c>
      <c r="O51" s="39">
        <f t="shared" si="15"/>
        <v>30000</v>
      </c>
      <c r="P51" s="35">
        <f t="shared" si="16"/>
        <v>375</v>
      </c>
      <c r="Q51" s="36">
        <v>0.75</v>
      </c>
      <c r="R51" s="35">
        <f t="shared" si="17"/>
        <v>1600</v>
      </c>
      <c r="S51" s="35">
        <f t="shared" si="17"/>
        <v>100</v>
      </c>
      <c r="T51" s="35">
        <f t="shared" si="17"/>
        <v>200</v>
      </c>
      <c r="U51" s="35">
        <f t="shared" si="17"/>
        <v>60</v>
      </c>
      <c r="V51" s="42">
        <v>10</v>
      </c>
      <c r="W51" s="42">
        <v>1536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>N51*2</f>
        <v>125000000</v>
      </c>
      <c r="O52" s="39">
        <f t="shared" si="15"/>
        <v>30000</v>
      </c>
      <c r="P52" s="35">
        <f t="shared" si="16"/>
        <v>380</v>
      </c>
      <c r="Q52" s="36">
        <v>0.75</v>
      </c>
      <c r="R52" s="35">
        <f t="shared" si="17"/>
        <v>2400</v>
      </c>
      <c r="S52" s="35">
        <f t="shared" si="17"/>
        <v>100</v>
      </c>
      <c r="T52" s="35">
        <f t="shared" si="17"/>
        <v>200</v>
      </c>
      <c r="U52" s="35">
        <f t="shared" si="17"/>
        <v>70</v>
      </c>
      <c r="V52" s="42">
        <v>10</v>
      </c>
      <c r="W52" s="42">
        <v>2048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>N52*1.25</f>
        <v>156250000</v>
      </c>
      <c r="O53" s="39">
        <f t="shared" si="15"/>
        <v>30000</v>
      </c>
      <c r="P53" s="35">
        <f t="shared" si="16"/>
        <v>385</v>
      </c>
      <c r="Q53" s="36">
        <v>0.75</v>
      </c>
      <c r="R53" s="35">
        <f t="shared" si="17"/>
        <v>3600</v>
      </c>
      <c r="S53" s="35">
        <f t="shared" si="17"/>
        <v>100</v>
      </c>
      <c r="T53" s="35">
        <f t="shared" si="17"/>
        <v>200</v>
      </c>
      <c r="U53" s="35">
        <f t="shared" si="17"/>
        <v>80</v>
      </c>
      <c r="V53" s="42">
        <v>10</v>
      </c>
      <c r="W53" s="42">
        <v>2048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>N53*1.7</f>
        <v>265625000</v>
      </c>
      <c r="O54" s="39">
        <f t="shared" si="15"/>
        <v>30000</v>
      </c>
      <c r="P54" s="35">
        <f t="shared" si="16"/>
        <v>390</v>
      </c>
      <c r="Q54" s="36">
        <v>0.75</v>
      </c>
      <c r="R54" s="35">
        <f t="shared" si="17"/>
        <v>5400</v>
      </c>
      <c r="S54" s="35">
        <f t="shared" si="17"/>
        <v>100</v>
      </c>
      <c r="T54" s="35">
        <f t="shared" si="17"/>
        <v>200</v>
      </c>
      <c r="U54" s="35">
        <f t="shared" si="17"/>
        <v>90</v>
      </c>
      <c r="V54" s="42">
        <v>10</v>
      </c>
      <c r="W54" s="42">
        <v>2560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>N54*1.25</f>
        <v>332031250</v>
      </c>
      <c r="O55" s="39">
        <f t="shared" si="15"/>
        <v>30000</v>
      </c>
      <c r="P55" s="35">
        <f t="shared" si="16"/>
        <v>395</v>
      </c>
      <c r="Q55" s="36">
        <v>0.75</v>
      </c>
      <c r="R55" s="35">
        <f t="shared" si="17"/>
        <v>7020</v>
      </c>
      <c r="S55" s="35">
        <f t="shared" si="17"/>
        <v>100</v>
      </c>
      <c r="T55" s="35">
        <f t="shared" si="17"/>
        <v>200</v>
      </c>
      <c r="U55" s="35">
        <f t="shared" si="17"/>
        <v>100</v>
      </c>
      <c r="V55" s="42">
        <v>10</v>
      </c>
      <c r="W55" s="42">
        <v>2560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>N55*1.5</f>
        <v>498046875</v>
      </c>
      <c r="O56" s="39">
        <f t="shared" si="15"/>
        <v>30000</v>
      </c>
      <c r="P56" s="35">
        <f t="shared" si="16"/>
        <v>400</v>
      </c>
      <c r="Q56" s="36">
        <v>0.75</v>
      </c>
      <c r="R56" s="35">
        <f t="shared" si="17"/>
        <v>9126</v>
      </c>
      <c r="S56" s="35">
        <f t="shared" si="17"/>
        <v>100</v>
      </c>
      <c r="T56" s="35">
        <f t="shared" si="17"/>
        <v>200</v>
      </c>
      <c r="U56" s="35">
        <f t="shared" si="17"/>
        <v>110</v>
      </c>
      <c r="V56" s="42">
        <v>10</v>
      </c>
      <c r="W56" s="42">
        <v>3072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>N56*1.1</f>
        <v>547851562.5</v>
      </c>
      <c r="O57" s="39">
        <f t="shared" si="15"/>
        <v>30000</v>
      </c>
      <c r="P57" s="35">
        <f t="shared" si="16"/>
        <v>405</v>
      </c>
      <c r="Q57" s="36">
        <v>0.75</v>
      </c>
      <c r="R57" s="35">
        <f t="shared" si="17"/>
        <v>11863.800000000001</v>
      </c>
      <c r="S57" s="35">
        <f t="shared" si="17"/>
        <v>100</v>
      </c>
      <c r="T57" s="35">
        <f t="shared" si="17"/>
        <v>200</v>
      </c>
      <c r="U57" s="35">
        <f t="shared" si="17"/>
        <v>120</v>
      </c>
      <c r="V57" s="42">
        <v>10</v>
      </c>
      <c r="W57" s="42">
        <v>3072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>N57*1.4</f>
        <v>766992187.5</v>
      </c>
      <c r="O58" s="39">
        <f t="shared" si="15"/>
        <v>30000</v>
      </c>
      <c r="P58" s="35">
        <f t="shared" si="16"/>
        <v>410</v>
      </c>
      <c r="Q58" s="36">
        <v>0.75</v>
      </c>
      <c r="R58" s="35">
        <f t="shared" si="17"/>
        <v>14236.560000000001</v>
      </c>
      <c r="S58" s="35">
        <f t="shared" si="17"/>
        <v>100</v>
      </c>
      <c r="T58" s="35">
        <f t="shared" si="17"/>
        <v>200</v>
      </c>
      <c r="U58" s="35">
        <f t="shared" si="17"/>
        <v>130</v>
      </c>
      <c r="V58" s="42">
        <v>10</v>
      </c>
      <c r="W58" s="42">
        <v>3584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>N58*1.1</f>
        <v>843691406.25000012</v>
      </c>
      <c r="O59" s="39">
        <f t="shared" si="15"/>
        <v>30000</v>
      </c>
      <c r="P59" s="35">
        <f t="shared" si="16"/>
        <v>415</v>
      </c>
      <c r="Q59" s="36">
        <v>0.75</v>
      </c>
      <c r="R59" s="35">
        <f t="shared" si="17"/>
        <v>17083.871999999999</v>
      </c>
      <c r="S59" s="35">
        <f t="shared" si="17"/>
        <v>100</v>
      </c>
      <c r="T59" s="35">
        <f t="shared" si="17"/>
        <v>200</v>
      </c>
      <c r="U59" s="35">
        <f t="shared" si="17"/>
        <v>140</v>
      </c>
      <c r="V59" s="42">
        <v>10</v>
      </c>
      <c r="W59" s="42">
        <v>3584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>N59*1.3</f>
        <v>1096798828.1250002</v>
      </c>
      <c r="O60" s="39">
        <f t="shared" si="15"/>
        <v>30000</v>
      </c>
      <c r="P60" s="35">
        <f t="shared" si="16"/>
        <v>420</v>
      </c>
      <c r="Q60" s="36">
        <v>0.75</v>
      </c>
      <c r="R60" s="35">
        <f t="shared" si="17"/>
        <v>20500.646400000001</v>
      </c>
      <c r="S60" s="35">
        <f t="shared" si="17"/>
        <v>100</v>
      </c>
      <c r="T60" s="35">
        <f t="shared" si="17"/>
        <v>200</v>
      </c>
      <c r="U60" s="35">
        <f t="shared" si="17"/>
        <v>150</v>
      </c>
      <c r="V60" s="42">
        <v>10</v>
      </c>
      <c r="W60" s="42">
        <v>4096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>N60*1.1</f>
        <v>1206478710.9375005</v>
      </c>
      <c r="O61" s="39">
        <f t="shared" si="15"/>
        <v>30000</v>
      </c>
      <c r="P61" s="35">
        <f t="shared" si="16"/>
        <v>425</v>
      </c>
      <c r="Q61" s="36">
        <v>0.75</v>
      </c>
      <c r="R61" s="35">
        <f t="shared" si="17"/>
        <v>22550.711040000002</v>
      </c>
      <c r="S61" s="35">
        <f t="shared" si="17"/>
        <v>100</v>
      </c>
      <c r="T61" s="35">
        <f t="shared" si="17"/>
        <v>200</v>
      </c>
      <c r="U61" s="35">
        <f t="shared" si="17"/>
        <v>160</v>
      </c>
      <c r="V61" s="42">
        <v>10</v>
      </c>
      <c r="W61" s="42">
        <v>4096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>N61*1.3</f>
        <v>1568422324.2187507</v>
      </c>
      <c r="O62" s="39">
        <f t="shared" si="15"/>
        <v>30000</v>
      </c>
      <c r="P62" s="35">
        <f t="shared" si="16"/>
        <v>430</v>
      </c>
      <c r="Q62" s="36">
        <v>0.75</v>
      </c>
      <c r="R62" s="35">
        <f t="shared" si="17"/>
        <v>24805.782144000004</v>
      </c>
      <c r="S62" s="35">
        <f t="shared" si="17"/>
        <v>100</v>
      </c>
      <c r="T62" s="35">
        <f t="shared" si="17"/>
        <v>200</v>
      </c>
      <c r="U62" s="35">
        <f t="shared" si="17"/>
        <v>170</v>
      </c>
      <c r="V62" s="42">
        <v>10</v>
      </c>
      <c r="W62" s="42">
        <v>4608</v>
      </c>
      <c r="X62" s="42">
        <v>0</v>
      </c>
      <c r="Y62" s="42">
        <v>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>N62*1.1</f>
        <v>1725264556.640626</v>
      </c>
      <c r="O63" s="39">
        <f t="shared" si="15"/>
        <v>30000</v>
      </c>
      <c r="P63" s="35">
        <f t="shared" si="16"/>
        <v>435</v>
      </c>
      <c r="Q63" s="36">
        <v>0.75</v>
      </c>
      <c r="R63" s="35">
        <f t="shared" si="17"/>
        <v>27286.360358400005</v>
      </c>
      <c r="S63" s="35">
        <f t="shared" si="17"/>
        <v>100</v>
      </c>
      <c r="T63" s="35">
        <f t="shared" si="17"/>
        <v>200</v>
      </c>
      <c r="U63" s="35">
        <f t="shared" si="17"/>
        <v>180</v>
      </c>
      <c r="V63" s="42">
        <v>10</v>
      </c>
      <c r="W63" s="42">
        <v>4608</v>
      </c>
      <c r="X63" s="42">
        <v>0</v>
      </c>
      <c r="Y63" s="42">
        <v>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>N63*1.2</f>
        <v>2070317467.968751</v>
      </c>
      <c r="O64" s="39">
        <f t="shared" si="15"/>
        <v>30000</v>
      </c>
      <c r="P64" s="35">
        <f t="shared" si="16"/>
        <v>440</v>
      </c>
      <c r="Q64" s="36">
        <v>0.75</v>
      </c>
      <c r="R64" s="35">
        <f t="shared" si="17"/>
        <v>30014.99639424001</v>
      </c>
      <c r="S64" s="35">
        <f t="shared" si="17"/>
        <v>100</v>
      </c>
      <c r="T64" s="35">
        <f t="shared" si="17"/>
        <v>200</v>
      </c>
      <c r="U64" s="35">
        <f t="shared" si="17"/>
        <v>190</v>
      </c>
      <c r="V64" s="42">
        <v>10</v>
      </c>
      <c r="W64" s="42">
        <v>5120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>N64*1.1</f>
        <v>2277349214.7656264</v>
      </c>
      <c r="O65" s="39">
        <f t="shared" si="15"/>
        <v>30000</v>
      </c>
      <c r="P65" s="35">
        <f t="shared" si="16"/>
        <v>445</v>
      </c>
      <c r="Q65" s="36">
        <v>0.75</v>
      </c>
      <c r="R65" s="35">
        <f t="shared" si="17"/>
        <v>33016.496033664014</v>
      </c>
      <c r="S65" s="35">
        <f t="shared" si="17"/>
        <v>100</v>
      </c>
      <c r="T65" s="35">
        <f t="shared" si="17"/>
        <v>200</v>
      </c>
      <c r="U65" s="35">
        <f t="shared" si="17"/>
        <v>200</v>
      </c>
      <c r="V65" s="42">
        <v>10</v>
      </c>
      <c r="W65" s="42">
        <v>5120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953535148.72012782</v>
      </c>
      <c r="M66" s="39">
        <v>19611.798643996426</v>
      </c>
      <c r="N66" s="39">
        <f>N24*3</f>
        <v>1089544369.1109126</v>
      </c>
      <c r="O66" s="39">
        <f t="shared" si="15"/>
        <v>30000</v>
      </c>
      <c r="P66" s="35">
        <f t="shared" si="16"/>
        <v>450</v>
      </c>
      <c r="Q66" s="36">
        <v>0.75</v>
      </c>
      <c r="R66" s="35">
        <f t="shared" si="17"/>
        <v>36318.145637030415</v>
      </c>
      <c r="S66" s="35">
        <f t="shared" si="17"/>
        <v>100</v>
      </c>
      <c r="T66" s="35">
        <f t="shared" si="17"/>
        <v>200</v>
      </c>
      <c r="U66" s="35">
        <f t="shared" si="17"/>
        <v>210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1144242178.4641533</v>
      </c>
      <c r="M67" s="39">
        <v>21572.978508396071</v>
      </c>
      <c r="N67" s="39">
        <f>N25*3</f>
        <v>1198498806.0220037</v>
      </c>
      <c r="O67" s="39">
        <f t="shared" si="15"/>
        <v>30000</v>
      </c>
      <c r="P67" s="35">
        <f t="shared" si="16"/>
        <v>455</v>
      </c>
      <c r="Q67" s="36">
        <v>0.75</v>
      </c>
      <c r="R67" s="35">
        <f t="shared" si="17"/>
        <v>39949.960200733462</v>
      </c>
      <c r="S67" s="35">
        <f t="shared" si="17"/>
        <v>100</v>
      </c>
      <c r="T67" s="35">
        <f t="shared" si="17"/>
        <v>200</v>
      </c>
      <c r="U67" s="35">
        <f t="shared" si="17"/>
        <v>220</v>
      </c>
      <c r="V67" s="42">
        <v>10</v>
      </c>
      <c r="W67" s="42">
        <v>1024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1373090614.1569839</v>
      </c>
      <c r="M68" s="39">
        <v>23730.276359235682</v>
      </c>
      <c r="N68" s="39">
        <f>N26*3</f>
        <v>1318348686.6242042</v>
      </c>
      <c r="O68" s="39">
        <f t="shared" si="15"/>
        <v>30000</v>
      </c>
      <c r="P68" s="35">
        <f t="shared" si="16"/>
        <v>460</v>
      </c>
      <c r="Q68" s="36">
        <v>0.75</v>
      </c>
      <c r="R68" s="35">
        <f t="shared" si="17"/>
        <v>43944.956220806809</v>
      </c>
      <c r="S68" s="35">
        <f t="shared" si="17"/>
        <v>100</v>
      </c>
      <c r="T68" s="35">
        <f t="shared" si="17"/>
        <v>200</v>
      </c>
      <c r="U68" s="35">
        <f t="shared" si="17"/>
        <v>230</v>
      </c>
      <c r="V68" s="42">
        <v>10</v>
      </c>
      <c r="W68" s="42">
        <v>1024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1647708736.9883804</v>
      </c>
      <c r="M69" s="39">
        <v>26103.303995159251</v>
      </c>
      <c r="N69" s="39">
        <f>N27*3</f>
        <v>1450183555.2866247</v>
      </c>
      <c r="O69" s="39">
        <f t="shared" si="15"/>
        <v>30000</v>
      </c>
      <c r="P69" s="35">
        <f t="shared" si="16"/>
        <v>465</v>
      </c>
      <c r="Q69" s="36">
        <v>0.75</v>
      </c>
      <c r="R69" s="35">
        <f t="shared" si="17"/>
        <v>48339.451842887494</v>
      </c>
      <c r="S69" s="35">
        <f t="shared" si="17"/>
        <v>100</v>
      </c>
      <c r="T69" s="35">
        <f t="shared" si="17"/>
        <v>200</v>
      </c>
      <c r="U69" s="35">
        <f t="shared" si="17"/>
        <v>240</v>
      </c>
      <c r="V69" s="42">
        <v>10</v>
      </c>
      <c r="W69" s="42">
        <v>1024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1977250484.3860567</v>
      </c>
      <c r="M70" s="39">
        <v>28713.634394675177</v>
      </c>
      <c r="N70" s="39">
        <f>N28*3</f>
        <v>1595201910.8152874</v>
      </c>
      <c r="O70" s="39">
        <f t="shared" si="15"/>
        <v>30000</v>
      </c>
      <c r="P70" s="35">
        <f t="shared" si="16"/>
        <v>470</v>
      </c>
      <c r="Q70" s="36">
        <v>0.75</v>
      </c>
      <c r="R70" s="35">
        <f t="shared" si="17"/>
        <v>53173.397027176245</v>
      </c>
      <c r="S70" s="35">
        <f t="shared" si="17"/>
        <v>100</v>
      </c>
      <c r="T70" s="35">
        <f t="shared" si="17"/>
        <v>200</v>
      </c>
      <c r="U70" s="35">
        <f t="shared" si="17"/>
        <v>250</v>
      </c>
      <c r="V70" s="42">
        <v>10</v>
      </c>
      <c r="W70" s="42">
        <v>1024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>N65*0.9</f>
        <v>2049614293.2890639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20500.646400000001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10</v>
      </c>
      <c r="W74" s="42">
        <v>5120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14236.560000000001</v>
      </c>
      <c r="S77" s="39">
        <f>S58</f>
        <v>100</v>
      </c>
      <c r="T77" s="39">
        <f>T58</f>
        <v>200</v>
      </c>
      <c r="U77" s="39">
        <f>U58</f>
        <v>130</v>
      </c>
      <c r="V77" s="42">
        <v>10</v>
      </c>
      <c r="W77" s="42">
        <v>4096</v>
      </c>
      <c r="X77" s="42">
        <v>0</v>
      </c>
      <c r="Y77" s="42">
        <v>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>N65*1.2</f>
        <v>2732819057.7187514</v>
      </c>
      <c r="O78" s="39">
        <f>O64</f>
        <v>30000</v>
      </c>
      <c r="P78" s="39">
        <f>P64</f>
        <v>440</v>
      </c>
      <c r="Q78" s="36">
        <v>0.75</v>
      </c>
      <c r="R78" s="39">
        <f>R64</f>
        <v>30014.99639424001</v>
      </c>
      <c r="S78" s="39">
        <f>S64</f>
        <v>100</v>
      </c>
      <c r="T78" s="39">
        <f>T64</f>
        <v>200</v>
      </c>
      <c r="U78" s="39">
        <f>U64</f>
        <v>190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>N53*1.1</f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10</v>
      </c>
      <c r="W79" s="42">
        <v>2560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>N55*1.1</f>
        <v>365234375</v>
      </c>
      <c r="O80" s="39">
        <f t="shared" ref="O80:P88" si="18">O52*1</f>
        <v>30000</v>
      </c>
      <c r="P80" s="39">
        <f t="shared" si="18"/>
        <v>380</v>
      </c>
      <c r="Q80" s="36">
        <v>0.75</v>
      </c>
      <c r="R80" s="39">
        <f t="shared" ref="R80:T88" si="19">R52*1</f>
        <v>2400</v>
      </c>
      <c r="S80" s="39">
        <f t="shared" si="19"/>
        <v>100</v>
      </c>
      <c r="T80" s="39">
        <f t="shared" si="19"/>
        <v>200</v>
      </c>
      <c r="U80" s="39">
        <v>150</v>
      </c>
      <c r="V80" s="42">
        <v>10</v>
      </c>
      <c r="W80" s="42">
        <v>3072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>N57*1.1</f>
        <v>602636718.75</v>
      </c>
      <c r="O81" s="39">
        <f t="shared" si="18"/>
        <v>30000</v>
      </c>
      <c r="P81" s="39">
        <f t="shared" si="18"/>
        <v>385</v>
      </c>
      <c r="Q81" s="36">
        <v>0.75</v>
      </c>
      <c r="R81" s="39">
        <f t="shared" si="19"/>
        <v>3600</v>
      </c>
      <c r="S81" s="39">
        <f t="shared" si="19"/>
        <v>100</v>
      </c>
      <c r="T81" s="39">
        <f t="shared" si="19"/>
        <v>200</v>
      </c>
      <c r="U81" s="39">
        <f t="shared" ref="U81:U88" si="20">U53*1</f>
        <v>80</v>
      </c>
      <c r="V81" s="42">
        <v>10</v>
      </c>
      <c r="W81" s="42">
        <v>3584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>N59*1.1</f>
        <v>928060546.87500024</v>
      </c>
      <c r="O82" s="39">
        <f t="shared" si="18"/>
        <v>30000</v>
      </c>
      <c r="P82" s="39">
        <f t="shared" si="18"/>
        <v>390</v>
      </c>
      <c r="Q82" s="36">
        <v>0.75</v>
      </c>
      <c r="R82" s="39">
        <f t="shared" si="19"/>
        <v>5400</v>
      </c>
      <c r="S82" s="39">
        <f t="shared" si="19"/>
        <v>100</v>
      </c>
      <c r="T82" s="39">
        <f t="shared" si="19"/>
        <v>200</v>
      </c>
      <c r="U82" s="39">
        <f t="shared" si="20"/>
        <v>90</v>
      </c>
      <c r="V82" s="42">
        <v>10</v>
      </c>
      <c r="W82" s="42">
        <v>4096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>N61*1.1</f>
        <v>1327126582.0312507</v>
      </c>
      <c r="O83" s="39">
        <f t="shared" si="18"/>
        <v>30000</v>
      </c>
      <c r="P83" s="39">
        <f t="shared" si="18"/>
        <v>395</v>
      </c>
      <c r="Q83" s="36">
        <v>0.75</v>
      </c>
      <c r="R83" s="39">
        <f t="shared" si="19"/>
        <v>7020</v>
      </c>
      <c r="S83" s="39">
        <f t="shared" si="19"/>
        <v>100</v>
      </c>
      <c r="T83" s="39">
        <f t="shared" si="19"/>
        <v>200</v>
      </c>
      <c r="U83" s="39">
        <f t="shared" si="20"/>
        <v>100</v>
      </c>
      <c r="V83" s="42">
        <v>10</v>
      </c>
      <c r="W83" s="42">
        <v>4608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>N63*1.05</f>
        <v>1811527784.4726574</v>
      </c>
      <c r="O84" s="39">
        <f t="shared" si="18"/>
        <v>30000</v>
      </c>
      <c r="P84" s="39">
        <f t="shared" si="18"/>
        <v>400</v>
      </c>
      <c r="Q84" s="36">
        <v>0.75</v>
      </c>
      <c r="R84" s="39">
        <f t="shared" si="19"/>
        <v>9126</v>
      </c>
      <c r="S84" s="39">
        <f t="shared" si="19"/>
        <v>100</v>
      </c>
      <c r="T84" s="39">
        <f t="shared" si="19"/>
        <v>200</v>
      </c>
      <c r="U84" s="39">
        <f t="shared" si="20"/>
        <v>110</v>
      </c>
      <c r="V84" s="42">
        <v>10</v>
      </c>
      <c r="W84" s="42">
        <v>5120</v>
      </c>
      <c r="X84" s="42">
        <v>0</v>
      </c>
      <c r="Y84" s="42">
        <v>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>N65*1.05</f>
        <v>2391216675.5039077</v>
      </c>
      <c r="O85" s="39">
        <f t="shared" si="18"/>
        <v>30000</v>
      </c>
      <c r="P85" s="39">
        <f t="shared" si="18"/>
        <v>405</v>
      </c>
      <c r="Q85" s="36">
        <v>0.75</v>
      </c>
      <c r="R85" s="39">
        <f t="shared" si="19"/>
        <v>11863.800000000001</v>
      </c>
      <c r="S85" s="39">
        <f t="shared" si="19"/>
        <v>100</v>
      </c>
      <c r="T85" s="39">
        <f t="shared" si="19"/>
        <v>200</v>
      </c>
      <c r="U85" s="39">
        <f t="shared" si="20"/>
        <v>120</v>
      </c>
      <c r="V85" s="42">
        <v>10</v>
      </c>
      <c r="W85" s="42">
        <v>5632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>N85*1.1</f>
        <v>2630338343.0542989</v>
      </c>
      <c r="O86" s="39">
        <f t="shared" si="18"/>
        <v>30000</v>
      </c>
      <c r="P86" s="39">
        <f t="shared" si="18"/>
        <v>410</v>
      </c>
      <c r="Q86" s="36">
        <v>0.75</v>
      </c>
      <c r="R86" s="39">
        <f t="shared" si="19"/>
        <v>14236.560000000001</v>
      </c>
      <c r="S86" s="39">
        <f t="shared" si="19"/>
        <v>100</v>
      </c>
      <c r="T86" s="39">
        <f t="shared" si="19"/>
        <v>200</v>
      </c>
      <c r="U86" s="39">
        <f t="shared" si="20"/>
        <v>130</v>
      </c>
      <c r="V86" s="42">
        <v>10</v>
      </c>
      <c r="W86" s="42">
        <v>6144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1446686088.6798644</v>
      </c>
      <c r="M87" s="39">
        <v>7812.1048788712642</v>
      </c>
      <c r="N87" s="39">
        <f>N86*1.1</f>
        <v>2893372177.3597288</v>
      </c>
      <c r="O87" s="39">
        <f t="shared" si="18"/>
        <v>30000</v>
      </c>
      <c r="P87" s="39">
        <f t="shared" si="18"/>
        <v>415</v>
      </c>
      <c r="Q87" s="36">
        <v>0.75</v>
      </c>
      <c r="R87" s="39">
        <f t="shared" si="19"/>
        <v>17083.871999999999</v>
      </c>
      <c r="S87" s="39">
        <f t="shared" si="19"/>
        <v>100</v>
      </c>
      <c r="T87" s="39">
        <f t="shared" si="19"/>
        <v>200</v>
      </c>
      <c r="U87" s="39">
        <f t="shared" si="20"/>
        <v>140</v>
      </c>
      <c r="V87" s="42">
        <v>10</v>
      </c>
      <c r="W87" s="42">
        <v>6656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1591354697.5478511</v>
      </c>
      <c r="M88" s="39">
        <v>8593.315366758392</v>
      </c>
      <c r="N88" s="39">
        <f>N87*1.1</f>
        <v>3182709395.0957022</v>
      </c>
      <c r="O88" s="39">
        <f t="shared" si="18"/>
        <v>30000</v>
      </c>
      <c r="P88" s="39">
        <f t="shared" si="18"/>
        <v>420</v>
      </c>
      <c r="Q88" s="36">
        <v>0.75</v>
      </c>
      <c r="R88" s="39">
        <f t="shared" si="19"/>
        <v>20500.646400000001</v>
      </c>
      <c r="S88" s="39">
        <f t="shared" si="19"/>
        <v>100</v>
      </c>
      <c r="T88" s="39">
        <f t="shared" si="19"/>
        <v>200</v>
      </c>
      <c r="U88" s="39">
        <f t="shared" si="20"/>
        <v>150</v>
      </c>
      <c r="V88" s="42">
        <v>10</v>
      </c>
      <c r="W88" s="42">
        <v>7680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L93/11</f>
        <v>28762207.03125</v>
      </c>
      <c r="M89" s="39">
        <v>155.31591796875003</v>
      </c>
      <c r="N89" s="39">
        <f>N93/11</f>
        <v>57524414.0625</v>
      </c>
      <c r="O89" s="39">
        <f t="shared" ref="O89:U89" si="21">O55*1</f>
        <v>30000</v>
      </c>
      <c r="P89" s="39">
        <f t="shared" si="21"/>
        <v>395</v>
      </c>
      <c r="Q89" s="39">
        <f t="shared" si="21"/>
        <v>0.75</v>
      </c>
      <c r="R89" s="39">
        <f t="shared" si="21"/>
        <v>7020</v>
      </c>
      <c r="S89" s="39">
        <f t="shared" si="21"/>
        <v>100</v>
      </c>
      <c r="T89" s="39">
        <f t="shared" si="21"/>
        <v>200</v>
      </c>
      <c r="U89" s="39">
        <f t="shared" si="21"/>
        <v>100</v>
      </c>
      <c r="V89" s="39">
        <v>10</v>
      </c>
      <c r="W89" s="39">
        <v>640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L94/11</f>
        <v>63340132.32421878</v>
      </c>
      <c r="M90" s="39">
        <v>342.03671455078131</v>
      </c>
      <c r="N90" s="39">
        <f>N94/11</f>
        <v>126680264.64843756</v>
      </c>
      <c r="O90" s="39">
        <f t="shared" ref="O90:U90" si="22">O59*1</f>
        <v>30000</v>
      </c>
      <c r="P90" s="39">
        <f t="shared" si="22"/>
        <v>415</v>
      </c>
      <c r="Q90" s="39">
        <f t="shared" si="22"/>
        <v>0.75</v>
      </c>
      <c r="R90" s="39">
        <f t="shared" si="22"/>
        <v>17083.871999999999</v>
      </c>
      <c r="S90" s="39">
        <f t="shared" si="22"/>
        <v>100</v>
      </c>
      <c r="T90" s="39">
        <f t="shared" si="22"/>
        <v>200</v>
      </c>
      <c r="U90" s="39">
        <f t="shared" si="22"/>
        <v>140</v>
      </c>
      <c r="V90" s="39">
        <v>10</v>
      </c>
      <c r="W90" s="39">
        <v>1280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L95/11</f>
        <v>114126250.42177743</v>
      </c>
      <c r="M91" s="39">
        <v>616.28175227759789</v>
      </c>
      <c r="N91" s="39">
        <f>N95/11</f>
        <v>228252500.84355485</v>
      </c>
      <c r="O91" s="39">
        <f t="shared" ref="O91:U91" si="23">O63*1</f>
        <v>30000</v>
      </c>
      <c r="P91" s="39">
        <f t="shared" si="23"/>
        <v>435</v>
      </c>
      <c r="Q91" s="39">
        <f t="shared" si="23"/>
        <v>0.75</v>
      </c>
      <c r="R91" s="39">
        <f t="shared" si="23"/>
        <v>27286.360358400005</v>
      </c>
      <c r="S91" s="39">
        <f t="shared" si="23"/>
        <v>100</v>
      </c>
      <c r="T91" s="39">
        <f t="shared" si="23"/>
        <v>200</v>
      </c>
      <c r="U91" s="39">
        <f t="shared" si="23"/>
        <v>180</v>
      </c>
      <c r="V91" s="39">
        <v>10</v>
      </c>
      <c r="W91" s="39">
        <v>1920</v>
      </c>
      <c r="X91" s="39">
        <f>X63*1</f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L96/11</f>
        <v>138092763.0103507</v>
      </c>
      <c r="M92" s="39">
        <v>745.70092025589338</v>
      </c>
      <c r="N92" s="39">
        <f>N96/11</f>
        <v>276185526.02070141</v>
      </c>
      <c r="O92" s="39">
        <f t="shared" ref="O92:U92" si="24">O69*1</f>
        <v>30000</v>
      </c>
      <c r="P92" s="39">
        <f t="shared" si="24"/>
        <v>465</v>
      </c>
      <c r="Q92" s="39">
        <f t="shared" si="24"/>
        <v>0.75</v>
      </c>
      <c r="R92" s="39">
        <f t="shared" si="24"/>
        <v>48339.451842887494</v>
      </c>
      <c r="S92" s="39">
        <f t="shared" si="24"/>
        <v>100</v>
      </c>
      <c r="T92" s="39">
        <f t="shared" si="24"/>
        <v>200</v>
      </c>
      <c r="U92" s="39">
        <f t="shared" si="24"/>
        <v>240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>N81*1.05</f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11863.800000000001</v>
      </c>
      <c r="S93" s="39">
        <f>S57*1</f>
        <v>100</v>
      </c>
      <c r="T93" s="39">
        <f>T57*1</f>
        <v>200</v>
      </c>
      <c r="U93" s="39">
        <f>U57*1</f>
        <v>120</v>
      </c>
      <c r="V93" s="39">
        <v>10</v>
      </c>
      <c r="W93" s="39">
        <v>3200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>N83*1.05</f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22550.711040000002</v>
      </c>
      <c r="S94" s="39">
        <f>S61*1</f>
        <v>100</v>
      </c>
      <c r="T94" s="39">
        <f>T61*1</f>
        <v>200</v>
      </c>
      <c r="U94" s="39">
        <f>U61*1</f>
        <v>160</v>
      </c>
      <c r="V94" s="39">
        <v>10</v>
      </c>
      <c r="W94" s="39">
        <v>3840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>N85*1.05</f>
        <v>2510777509.2791033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33016.496033664014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10</v>
      </c>
      <c r="W95" s="39">
        <v>5120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>N87*1.05</f>
        <v>3038040786.2277155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48339.451842887494</v>
      </c>
      <c r="S96" s="39">
        <f>S69*1</f>
        <v>100</v>
      </c>
      <c r="T96" s="39">
        <f>T69*1</f>
        <v>200</v>
      </c>
      <c r="U96" s="39">
        <f>U69*1</f>
        <v>240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25">O4</f>
        <v>100</v>
      </c>
      <c r="P97" s="39">
        <f t="shared" si="25"/>
        <v>350</v>
      </c>
      <c r="Q97" s="39">
        <f t="shared" si="25"/>
        <v>1</v>
      </c>
      <c r="R97" s="39">
        <f t="shared" si="25"/>
        <v>10</v>
      </c>
      <c r="S97" s="39">
        <f t="shared" si="25"/>
        <v>1</v>
      </c>
      <c r="T97" s="39">
        <f t="shared" si="25"/>
        <v>200</v>
      </c>
      <c r="U97" s="39">
        <f t="shared" si="25"/>
        <v>10</v>
      </c>
      <c r="V97" s="39">
        <v>10</v>
      </c>
      <c r="W97" s="39">
        <v>0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26">O4</f>
        <v>100</v>
      </c>
      <c r="P98" s="39">
        <f t="shared" si="26"/>
        <v>350</v>
      </c>
      <c r="Q98" s="39">
        <f t="shared" si="26"/>
        <v>1</v>
      </c>
      <c r="R98" s="39">
        <f t="shared" si="26"/>
        <v>10</v>
      </c>
      <c r="S98" s="39">
        <f t="shared" si="26"/>
        <v>1</v>
      </c>
      <c r="T98" s="39">
        <v>400</v>
      </c>
      <c r="U98" s="39">
        <f>U4</f>
        <v>10</v>
      </c>
      <c r="V98" s="39">
        <v>10</v>
      </c>
      <c r="W98" s="39">
        <v>512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26"/>
        <v>100</v>
      </c>
      <c r="P99" s="39">
        <f t="shared" si="26"/>
        <v>355</v>
      </c>
      <c r="Q99" s="39">
        <f t="shared" si="26"/>
        <v>1</v>
      </c>
      <c r="R99" s="39">
        <f t="shared" si="26"/>
        <v>100</v>
      </c>
      <c r="S99" s="39">
        <f t="shared" si="26"/>
        <v>1</v>
      </c>
      <c r="T99" s="39">
        <v>400</v>
      </c>
      <c r="U99" s="39">
        <f>U5</f>
        <v>20</v>
      </c>
      <c r="V99" s="39">
        <v>10</v>
      </c>
      <c r="W99" s="39">
        <v>640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v>729919620.11718798</v>
      </c>
      <c r="M100">
        <v>3941.5659486328132</v>
      </c>
      <c r="N100">
        <v>1459839240.234376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1332249290.6378915</v>
      </c>
      <c r="M111">
        <f>M74*1.3</f>
        <v>7194.1461694446107</v>
      </c>
      <c r="N111">
        <f>N74*1.3</f>
        <v>2664498581.2757831</v>
      </c>
      <c r="O111" s="53">
        <f t="shared" ref="O111:X111" si="27">O74</f>
        <v>30000</v>
      </c>
      <c r="P111" s="53">
        <f t="shared" si="27"/>
        <v>420</v>
      </c>
      <c r="Q111" s="53">
        <f t="shared" si="27"/>
        <v>0.75</v>
      </c>
      <c r="R111" s="53">
        <f t="shared" si="27"/>
        <v>20500.646400000001</v>
      </c>
      <c r="S111" s="53">
        <f t="shared" si="27"/>
        <v>100</v>
      </c>
      <c r="T111" s="53">
        <f t="shared" si="27"/>
        <v>200</v>
      </c>
      <c r="U111" s="53">
        <f t="shared" si="27"/>
        <v>150</v>
      </c>
      <c r="V111" s="53">
        <f t="shared" si="27"/>
        <v>10</v>
      </c>
      <c r="W111" s="53">
        <f t="shared" si="27"/>
        <v>5120</v>
      </c>
      <c r="X111" s="53">
        <f t="shared" si="27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1358894276.4506495</v>
      </c>
      <c r="M112">
        <f t="shared" ref="M112:N112" si="28">M111*1.02</f>
        <v>7338.0290928335035</v>
      </c>
      <c r="N112">
        <f t="shared" si="28"/>
        <v>2717788552.901299</v>
      </c>
      <c r="O112" s="53">
        <f t="shared" ref="O112:X114" si="29">O111</f>
        <v>30000</v>
      </c>
      <c r="P112" s="53">
        <f t="shared" si="29"/>
        <v>420</v>
      </c>
      <c r="Q112" s="53">
        <f t="shared" si="29"/>
        <v>0.75</v>
      </c>
      <c r="R112" s="53">
        <f t="shared" si="29"/>
        <v>20500.646400000001</v>
      </c>
      <c r="S112" s="53">
        <f t="shared" si="29"/>
        <v>100</v>
      </c>
      <c r="T112" s="53">
        <f t="shared" si="29"/>
        <v>200</v>
      </c>
      <c r="U112" s="53">
        <f t="shared" si="29"/>
        <v>150</v>
      </c>
      <c r="V112" s="53">
        <f t="shared" si="29"/>
        <v>10</v>
      </c>
      <c r="W112" s="53">
        <f t="shared" si="29"/>
        <v>5120</v>
      </c>
      <c r="X112" s="53">
        <f t="shared" si="29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30">L112*1.02</f>
        <v>1386072161.9796624</v>
      </c>
      <c r="M113">
        <f t="shared" ref="M113:M114" si="31">M112*1.02</f>
        <v>7484.7896746901733</v>
      </c>
      <c r="N113">
        <f t="shared" ref="N113:N114" si="32">N112*1.02</f>
        <v>2772144323.9593248</v>
      </c>
      <c r="O113" s="53">
        <f t="shared" si="29"/>
        <v>30000</v>
      </c>
      <c r="P113" s="53">
        <f t="shared" si="29"/>
        <v>420</v>
      </c>
      <c r="Q113" s="53">
        <f t="shared" si="29"/>
        <v>0.75</v>
      </c>
      <c r="R113" s="53">
        <f t="shared" si="29"/>
        <v>20500.646400000001</v>
      </c>
      <c r="S113" s="53">
        <f t="shared" si="29"/>
        <v>100</v>
      </c>
      <c r="T113" s="53">
        <f t="shared" si="29"/>
        <v>200</v>
      </c>
      <c r="U113" s="53">
        <f t="shared" si="29"/>
        <v>150</v>
      </c>
      <c r="V113" s="53">
        <f t="shared" si="29"/>
        <v>10</v>
      </c>
      <c r="W113" s="53">
        <f t="shared" si="29"/>
        <v>5120</v>
      </c>
      <c r="X113" s="53">
        <f t="shared" si="29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30"/>
        <v>1413793605.2192557</v>
      </c>
      <c r="M114">
        <f t="shared" si="31"/>
        <v>7634.485468183977</v>
      </c>
      <c r="N114">
        <f t="shared" si="32"/>
        <v>2827587210.4385114</v>
      </c>
      <c r="O114" s="53">
        <f t="shared" si="29"/>
        <v>30000</v>
      </c>
      <c r="P114" s="53">
        <f t="shared" si="29"/>
        <v>420</v>
      </c>
      <c r="Q114" s="53">
        <f t="shared" si="29"/>
        <v>0.75</v>
      </c>
      <c r="R114" s="53">
        <f t="shared" si="29"/>
        <v>20500.646400000001</v>
      </c>
      <c r="S114" s="53">
        <f t="shared" si="29"/>
        <v>100</v>
      </c>
      <c r="T114" s="53">
        <f t="shared" si="29"/>
        <v>200</v>
      </c>
      <c r="U114" s="53">
        <f t="shared" si="29"/>
        <v>150</v>
      </c>
      <c r="V114" s="53">
        <f t="shared" si="29"/>
        <v>10</v>
      </c>
      <c r="W114" s="53">
        <f t="shared" si="29"/>
        <v>5120</v>
      </c>
      <c r="X114" s="53">
        <f t="shared" si="29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2019-06-21T08:20:15Z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