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2BFED8F1-5157-40B8-AE3D-B9EE1ADE1A04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36" i="29" l="1"/>
  <c r="N37" i="29" l="1"/>
  <c r="N38" i="29" s="1"/>
  <c r="N39" i="29" s="1"/>
  <c r="N43" i="29" l="1"/>
  <c r="N40" i="29" s="1"/>
  <c r="N44" i="29" s="1"/>
  <c r="N41" i="29" s="1"/>
  <c r="N45" i="29" s="1"/>
  <c r="N42" i="29" s="1"/>
  <c r="N54" i="29"/>
  <c r="N55" i="29" s="1"/>
  <c r="N56" i="29" s="1"/>
  <c r="N53" i="29"/>
  <c r="N47" i="29"/>
  <c r="O9" i="29"/>
  <c r="O10" i="29"/>
  <c r="O4" i="29"/>
  <c r="O43" i="29" l="1"/>
  <c r="O40" i="29" s="1"/>
  <c r="O44" i="29" s="1"/>
  <c r="O41" i="29" s="1"/>
  <c r="O45" i="29" s="1"/>
  <c r="O42" i="29" s="1"/>
  <c r="O39" i="29"/>
  <c r="O71" i="29" l="1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4" i="29" s="1"/>
  <c r="M41" i="29" s="1"/>
  <c r="M45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73" i="29" l="1"/>
  <c r="N62" i="29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74" i="29"/>
  <c r="N111" i="29" s="1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73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74" i="29"/>
  <c r="M111" i="29" s="1"/>
  <c r="M112" i="29" s="1"/>
  <c r="M113" i="29" s="1"/>
  <c r="M114" i="29" s="1"/>
  <c r="O73" i="29"/>
  <c r="O62" i="29"/>
  <c r="O63" i="29" s="1"/>
  <c r="O64" i="29" s="1"/>
  <c r="M86" i="29"/>
  <c r="M87" i="29" s="1"/>
  <c r="M88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74" i="29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<sst xmlns="http://schemas.openxmlformats.org/spreadsheetml/2006/main" count="865" uniqueCount="441">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</sst>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18" sqref="F18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430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432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433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436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435</v>
      </c>
      <c r="B77" s="11" t="s">
        <v>179</v>
      </c>
      <c r="C77" s="27" t="s">
        <v>350</v>
      </c>
      <c r="D77" s="3" t="s">
        <v>434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431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436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3" t="s">
        <v>339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60</v>
      </c>
    </row>
    <row r="90" spans="1:9" ht="15" x14ac:dyDescent="0.15">
      <c r="A90" s="50" t="s">
        <v>358</v>
      </c>
      <c r="B90" s="11" t="s">
        <v>221</v>
      </c>
      <c r="C90" s="27" t="s">
        <v>425</v>
      </c>
      <c r="D90" s="3"/>
      <c r="G90" s="3">
        <v>1</v>
      </c>
      <c r="I90" s="3">
        <v>60</v>
      </c>
    </row>
    <row r="91" spans="1:9" ht="15" x14ac:dyDescent="0.15">
      <c r="A91" s="50" t="s">
        <v>359</v>
      </c>
      <c r="B91" s="11" t="s">
        <v>222</v>
      </c>
      <c r="C91" s="27" t="s">
        <v>426</v>
      </c>
      <c r="D91" s="3"/>
      <c r="G91" s="3">
        <v>0.8</v>
      </c>
      <c r="I91" s="3">
        <v>60</v>
      </c>
    </row>
    <row r="92" spans="1:9" ht="15" x14ac:dyDescent="0.15">
      <c r="A92" s="50" t="s">
        <v>360</v>
      </c>
      <c r="B92" s="11" t="s">
        <v>223</v>
      </c>
      <c r="C92" s="27" t="s">
        <v>427</v>
      </c>
      <c r="D92" s="3"/>
      <c r="G92" s="3">
        <v>0.7</v>
      </c>
      <c r="I92" s="3">
        <v>60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419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420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421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422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416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417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418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423</v>
      </c>
      <c r="B107" s="11" t="s">
        <v>386</v>
      </c>
      <c r="C107" s="27" t="s">
        <v>45</v>
      </c>
      <c r="D107" s="54" t="s">
        <v>414</v>
      </c>
      <c r="G107" s="3">
        <v>1</v>
      </c>
      <c r="I107" s="3">
        <v>60</v>
      </c>
    </row>
    <row r="108" spans="1:9" ht="15" x14ac:dyDescent="0.15">
      <c r="A108" s="52" t="s">
        <v>424</v>
      </c>
      <c r="B108" s="11" t="s">
        <v>387</v>
      </c>
      <c r="C108" s="27" t="s">
        <v>45</v>
      </c>
      <c r="D108" s="54" t="s">
        <v>413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415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429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428</v>
      </c>
      <c r="G114" s="3">
        <v>1</v>
      </c>
      <c r="I114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4"/>
  <sheetViews>
    <sheetView zoomScaleNormal="100" workbookViewId="0">
      <pane ySplit="3" topLeftCell="A4" activePane="bottomLeft" state="frozen"/>
      <selection activeCell="D1" sqref="D1"/>
      <selection pane="bottomLeft" activeCell="H40" sqref="H40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336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12" t="s">
        <v>338</v>
      </c>
      <c r="AA1" s="6" t="s">
        <v>337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K2" s="46" t="s">
        <v>440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44" t="s">
        <v>438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437</v>
      </c>
      <c r="U3" s="8" t="s">
        <v>201</v>
      </c>
      <c r="V3" s="8" t="s">
        <v>229</v>
      </c>
      <c r="W3" s="38" t="s">
        <v>347</v>
      </c>
      <c r="X3" s="38" t="s">
        <v>348</v>
      </c>
      <c r="Y3" s="38" t="s">
        <v>334</v>
      </c>
      <c r="Z3" s="38" t="s">
        <v>335</v>
      </c>
    </row>
    <row r="4" spans="1:27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439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439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439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439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439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439</v>
      </c>
      <c r="L40" s="34"/>
      <c r="M40" s="39">
        <f t="shared" ref="M40" si="30">M43*2</f>
        <v>20000000</v>
      </c>
      <c r="N40" s="39">
        <f>N43*1.9</f>
        <v>480.9375</v>
      </c>
      <c r="O40" s="39">
        <f t="shared" ref="O40" si="31">O43*2</f>
        <v>32000000</v>
      </c>
      <c r="P40" s="39">
        <f t="shared" ref="P40:V40" si="32">P14</f>
        <v>10000</v>
      </c>
      <c r="Q40" s="39">
        <f t="shared" si="32"/>
        <v>400</v>
      </c>
      <c r="R40" s="40">
        <f t="shared" si="32"/>
        <v>0.9</v>
      </c>
      <c r="S40" s="39">
        <f t="shared" si="32"/>
        <v>10810.800000000001</v>
      </c>
      <c r="T40" s="35">
        <v>0</v>
      </c>
      <c r="U40" s="39">
        <f t="shared" si="32"/>
        <v>200</v>
      </c>
      <c r="V40" s="39">
        <f t="shared" si="32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439</v>
      </c>
      <c r="L41" s="34"/>
      <c r="M41" s="39">
        <f t="shared" ref="M41:O42" si="33">M44*2.1</f>
        <v>84000000</v>
      </c>
      <c r="N41" s="39">
        <f t="shared" si="33"/>
        <v>1918.9406250000002</v>
      </c>
      <c r="O41" s="39">
        <f t="shared" si="33"/>
        <v>134400000</v>
      </c>
      <c r="P41" s="39">
        <f t="shared" ref="P41:V41" si="34">P16</f>
        <v>10000</v>
      </c>
      <c r="Q41" s="39">
        <f t="shared" si="34"/>
        <v>410</v>
      </c>
      <c r="R41" s="40">
        <f t="shared" si="34"/>
        <v>0.9</v>
      </c>
      <c r="S41" s="39">
        <f t="shared" si="34"/>
        <v>16864.848000000002</v>
      </c>
      <c r="T41" s="35">
        <v>0</v>
      </c>
      <c r="U41" s="39">
        <f t="shared" si="34"/>
        <v>200</v>
      </c>
      <c r="V41" s="39">
        <f t="shared" si="34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439</v>
      </c>
      <c r="L42" s="34"/>
      <c r="M42" s="39">
        <f t="shared" si="33"/>
        <v>370440000</v>
      </c>
      <c r="N42" s="39">
        <f t="shared" si="33"/>
        <v>8462.5281562500004</v>
      </c>
      <c r="O42" s="39">
        <f t="shared" si="33"/>
        <v>592704000</v>
      </c>
      <c r="P42" s="39">
        <f t="shared" ref="P42:V42" si="35">P18</f>
        <v>10000</v>
      </c>
      <c r="Q42" s="39">
        <f t="shared" si="35"/>
        <v>420</v>
      </c>
      <c r="R42" s="40">
        <f t="shared" si="35"/>
        <v>0.9</v>
      </c>
      <c r="S42" s="39">
        <f t="shared" si="35"/>
        <v>24285.381119999998</v>
      </c>
      <c r="T42" s="35">
        <v>0</v>
      </c>
      <c r="U42" s="39">
        <f t="shared" si="35"/>
        <v>200</v>
      </c>
      <c r="V42" s="39">
        <f t="shared" si="35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439</v>
      </c>
      <c r="L43" s="34"/>
      <c r="M43" s="39">
        <f t="shared" ref="M43:O44" si="36">M39*2</f>
        <v>10000000</v>
      </c>
      <c r="N43" s="39">
        <f>N39*2</f>
        <v>253.125</v>
      </c>
      <c r="O43" s="39">
        <f t="shared" si="36"/>
        <v>16000000</v>
      </c>
      <c r="P43" s="39">
        <f t="shared" ref="P43:U43" si="37">P8</f>
        <v>1000</v>
      </c>
      <c r="Q43" s="39">
        <f t="shared" si="37"/>
        <v>370</v>
      </c>
      <c r="R43" s="40">
        <f t="shared" si="37"/>
        <v>1</v>
      </c>
      <c r="S43" s="39">
        <f t="shared" si="37"/>
        <v>800</v>
      </c>
      <c r="T43" s="35">
        <v>0</v>
      </c>
      <c r="U43" s="39">
        <f t="shared" si="37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439</v>
      </c>
      <c r="L44" s="34"/>
      <c r="M44" s="39">
        <f t="shared" si="36"/>
        <v>40000000</v>
      </c>
      <c r="N44" s="39">
        <f>N40*1.9</f>
        <v>913.78125</v>
      </c>
      <c r="O44" s="39">
        <f t="shared" si="36"/>
        <v>64000000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439</v>
      </c>
      <c r="L45" s="34"/>
      <c r="M45" s="39">
        <f>M41*2.1</f>
        <v>176400000</v>
      </c>
      <c r="N45" s="39">
        <f>N41*2.1</f>
        <v>4029.7753125000004</v>
      </c>
      <c r="O45" s="39">
        <f>O41*2.1</f>
        <v>282240000</v>
      </c>
      <c r="P45" s="39">
        <f t="shared" ref="P45:V45" si="39">P23</f>
        <v>10000</v>
      </c>
      <c r="Q45" s="39">
        <f t="shared" si="39"/>
        <v>445</v>
      </c>
      <c r="R45" s="40">
        <f t="shared" si="39"/>
        <v>0.9</v>
      </c>
      <c r="S45" s="39">
        <f t="shared" si="39"/>
        <v>76376.552207155182</v>
      </c>
      <c r="T45" s="35">
        <v>0</v>
      </c>
      <c r="U45" s="39">
        <f t="shared" si="39"/>
        <v>200</v>
      </c>
      <c r="V45" s="39">
        <f t="shared" si="39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0">P4*3</f>
        <v>300</v>
      </c>
      <c r="Q46" s="35">
        <f t="shared" ref="Q46:Q70" si="41">Q4</f>
        <v>350</v>
      </c>
      <c r="R46" s="36">
        <v>0.75</v>
      </c>
      <c r="S46" s="35">
        <f t="shared" ref="S46:V70" si="42">S4</f>
        <v>11.000000000000002</v>
      </c>
      <c r="T46" s="35">
        <v>0</v>
      </c>
      <c r="U46" s="35">
        <f t="shared" si="42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3">O46*1.25</f>
        <v>9375000</v>
      </c>
      <c r="P47" s="39">
        <f t="shared" si="40"/>
        <v>300</v>
      </c>
      <c r="Q47" s="35">
        <f t="shared" si="41"/>
        <v>355</v>
      </c>
      <c r="R47" s="36">
        <v>0.75</v>
      </c>
      <c r="S47" s="35">
        <f t="shared" si="42"/>
        <v>100</v>
      </c>
      <c r="T47" s="35">
        <v>0</v>
      </c>
      <c r="U47" s="35">
        <f t="shared" si="42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0"/>
        <v>300</v>
      </c>
      <c r="Q48" s="35">
        <f t="shared" si="41"/>
        <v>360</v>
      </c>
      <c r="R48" s="36">
        <v>0.75</v>
      </c>
      <c r="S48" s="35">
        <f t="shared" si="42"/>
        <v>200</v>
      </c>
      <c r="T48" s="35">
        <v>0</v>
      </c>
      <c r="U48" s="35">
        <f t="shared" si="42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4">N48*1.25</f>
        <v>150</v>
      </c>
      <c r="O49" s="39">
        <f t="shared" si="44"/>
        <v>22888183.59375</v>
      </c>
      <c r="P49" s="39">
        <f t="shared" si="40"/>
        <v>3000</v>
      </c>
      <c r="Q49" s="35">
        <f t="shared" si="41"/>
        <v>365</v>
      </c>
      <c r="R49" s="36">
        <v>0.75</v>
      </c>
      <c r="S49" s="35">
        <f t="shared" si="42"/>
        <v>400</v>
      </c>
      <c r="T49" s="35">
        <v>0</v>
      </c>
      <c r="U49" s="35">
        <f t="shared" si="42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0"/>
        <v>3000</v>
      </c>
      <c r="Q50" s="35">
        <f t="shared" si="41"/>
        <v>370</v>
      </c>
      <c r="R50" s="36">
        <v>0.75</v>
      </c>
      <c r="S50" s="35">
        <f t="shared" si="42"/>
        <v>800</v>
      </c>
      <c r="T50" s="35">
        <v>0</v>
      </c>
      <c r="U50" s="35">
        <f t="shared" si="42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5">N50*1.25</f>
        <v>312.5</v>
      </c>
      <c r="O51" s="39">
        <f t="shared" si="45"/>
        <v>62500000</v>
      </c>
      <c r="P51" s="39">
        <f t="shared" si="40"/>
        <v>30000</v>
      </c>
      <c r="Q51" s="35">
        <f t="shared" si="41"/>
        <v>375</v>
      </c>
      <c r="R51" s="36">
        <v>0.75</v>
      </c>
      <c r="S51" s="35">
        <f t="shared" si="42"/>
        <v>1760</v>
      </c>
      <c r="T51" s="35">
        <v>0</v>
      </c>
      <c r="U51" s="35">
        <f t="shared" si="42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0"/>
        <v>30000</v>
      </c>
      <c r="Q52" s="35">
        <f t="shared" si="41"/>
        <v>380</v>
      </c>
      <c r="R52" s="36">
        <v>0.75</v>
      </c>
      <c r="S52" s="35">
        <f t="shared" si="42"/>
        <v>2640</v>
      </c>
      <c r="T52" s="35">
        <v>0</v>
      </c>
      <c r="U52" s="35">
        <f t="shared" si="42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0"/>
        <v>30000</v>
      </c>
      <c r="Q53" s="35">
        <f t="shared" si="41"/>
        <v>385</v>
      </c>
      <c r="R53" s="36">
        <v>0.75</v>
      </c>
      <c r="S53" s="35">
        <f t="shared" si="42"/>
        <v>3960</v>
      </c>
      <c r="T53" s="35">
        <v>0</v>
      </c>
      <c r="U53" s="35">
        <f t="shared" si="42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6">N53*1.7</f>
        <v>1168.75</v>
      </c>
      <c r="O54" s="39">
        <f t="shared" si="46"/>
        <v>265625000</v>
      </c>
      <c r="P54" s="39">
        <f t="shared" si="40"/>
        <v>30000</v>
      </c>
      <c r="Q54" s="35">
        <f t="shared" si="41"/>
        <v>390</v>
      </c>
      <c r="R54" s="36">
        <v>0.75</v>
      </c>
      <c r="S54" s="35">
        <f t="shared" si="42"/>
        <v>5940</v>
      </c>
      <c r="T54" s="35">
        <v>0</v>
      </c>
      <c r="U54" s="35">
        <f t="shared" si="42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7">N54*1.25</f>
        <v>1460.9375</v>
      </c>
      <c r="O55" s="39">
        <f t="shared" si="47"/>
        <v>332031250</v>
      </c>
      <c r="P55" s="39">
        <f t="shared" si="40"/>
        <v>30000</v>
      </c>
      <c r="Q55" s="35">
        <f t="shared" si="41"/>
        <v>395</v>
      </c>
      <c r="R55" s="36">
        <v>0.75</v>
      </c>
      <c r="S55" s="35">
        <f t="shared" si="42"/>
        <v>8316</v>
      </c>
      <c r="T55" s="35">
        <v>0</v>
      </c>
      <c r="U55" s="35">
        <f t="shared" si="42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8">N55*1.6</f>
        <v>2337.5</v>
      </c>
      <c r="O56" s="39">
        <f t="shared" si="48"/>
        <v>531250000</v>
      </c>
      <c r="P56" s="39">
        <f t="shared" si="40"/>
        <v>30000</v>
      </c>
      <c r="Q56" s="35">
        <f t="shared" si="41"/>
        <v>400</v>
      </c>
      <c r="R56" s="36">
        <v>0.75</v>
      </c>
      <c r="S56" s="35">
        <f t="shared" si="42"/>
        <v>10810.800000000001</v>
      </c>
      <c r="T56" s="35">
        <v>0</v>
      </c>
      <c r="U56" s="35">
        <f t="shared" si="42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49">N56*1.1</f>
        <v>2571.25</v>
      </c>
      <c r="O57" s="39">
        <f t="shared" si="49"/>
        <v>584375000</v>
      </c>
      <c r="P57" s="39">
        <f t="shared" si="40"/>
        <v>30000</v>
      </c>
      <c r="Q57" s="35">
        <f t="shared" si="41"/>
        <v>405</v>
      </c>
      <c r="R57" s="36">
        <v>0.75</v>
      </c>
      <c r="S57" s="35">
        <f t="shared" si="42"/>
        <v>14054.04</v>
      </c>
      <c r="T57" s="35">
        <v>0</v>
      </c>
      <c r="U57" s="35">
        <f t="shared" si="42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0">N57*1.6</f>
        <v>4114</v>
      </c>
      <c r="O58" s="39">
        <f t="shared" si="50"/>
        <v>935000000</v>
      </c>
      <c r="P58" s="39">
        <f t="shared" si="40"/>
        <v>30000</v>
      </c>
      <c r="Q58" s="35">
        <f t="shared" si="41"/>
        <v>410</v>
      </c>
      <c r="R58" s="36">
        <v>0.75</v>
      </c>
      <c r="S58" s="35">
        <f t="shared" si="42"/>
        <v>16864.848000000002</v>
      </c>
      <c r="T58" s="35">
        <v>0</v>
      </c>
      <c r="U58" s="35">
        <f t="shared" si="42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1">N58*1.1</f>
        <v>4525.4000000000005</v>
      </c>
      <c r="O59" s="39">
        <f t="shared" si="51"/>
        <v>1028500000.0000001</v>
      </c>
      <c r="P59" s="39">
        <f t="shared" si="40"/>
        <v>30000</v>
      </c>
      <c r="Q59" s="35">
        <f t="shared" si="41"/>
        <v>415</v>
      </c>
      <c r="R59" s="36">
        <v>0.75</v>
      </c>
      <c r="S59" s="35">
        <f t="shared" si="42"/>
        <v>20237.817600000002</v>
      </c>
      <c r="T59" s="35">
        <v>0</v>
      </c>
      <c r="U59" s="35">
        <f t="shared" si="42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2">N59*1.5</f>
        <v>6788.1</v>
      </c>
      <c r="O60" s="39">
        <f t="shared" si="52"/>
        <v>1542750000.0000002</v>
      </c>
      <c r="P60" s="39">
        <f t="shared" si="40"/>
        <v>30000</v>
      </c>
      <c r="Q60" s="35">
        <f t="shared" si="41"/>
        <v>420</v>
      </c>
      <c r="R60" s="36">
        <v>0.75</v>
      </c>
      <c r="S60" s="35">
        <f t="shared" si="42"/>
        <v>24285.381119999998</v>
      </c>
      <c r="T60" s="35">
        <v>0</v>
      </c>
      <c r="U60" s="35">
        <f t="shared" si="42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3">N60*1.1</f>
        <v>7466.9100000000008</v>
      </c>
      <c r="O61" s="39">
        <f t="shared" si="53"/>
        <v>1697025000.0000005</v>
      </c>
      <c r="P61" s="39">
        <f t="shared" si="40"/>
        <v>30000</v>
      </c>
      <c r="Q61" s="35">
        <f t="shared" si="41"/>
        <v>425</v>
      </c>
      <c r="R61" s="36">
        <v>0.75</v>
      </c>
      <c r="S61" s="35">
        <f t="shared" si="42"/>
        <v>33999.533567999999</v>
      </c>
      <c r="T61" s="35">
        <v>0</v>
      </c>
      <c r="U61" s="35">
        <f t="shared" si="42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4">N61*1.5</f>
        <v>11200.365000000002</v>
      </c>
      <c r="O62" s="39">
        <f t="shared" si="54"/>
        <v>2545537500.000001</v>
      </c>
      <c r="P62" s="39">
        <f t="shared" si="40"/>
        <v>30000</v>
      </c>
      <c r="Q62" s="35">
        <f t="shared" si="41"/>
        <v>430</v>
      </c>
      <c r="R62" s="36">
        <v>0.75</v>
      </c>
      <c r="S62" s="35">
        <f t="shared" si="42"/>
        <v>44199.393638399997</v>
      </c>
      <c r="T62" s="35">
        <v>0</v>
      </c>
      <c r="U62" s="35">
        <f t="shared" si="42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5">N62*1.1</f>
        <v>12320.401500000004</v>
      </c>
      <c r="O63" s="39">
        <f t="shared" si="55"/>
        <v>2800091250.0000014</v>
      </c>
      <c r="P63" s="39">
        <f t="shared" si="40"/>
        <v>30000</v>
      </c>
      <c r="Q63" s="35">
        <f t="shared" si="41"/>
        <v>435</v>
      </c>
      <c r="R63" s="36">
        <v>0.75</v>
      </c>
      <c r="S63" s="35">
        <f t="shared" si="42"/>
        <v>53039.272366079997</v>
      </c>
      <c r="T63" s="35">
        <v>0</v>
      </c>
      <c r="U63" s="35">
        <f t="shared" si="42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6">N63*1.5</f>
        <v>18480.602250000004</v>
      </c>
      <c r="O64" s="39">
        <f t="shared" si="56"/>
        <v>4200136875.0000019</v>
      </c>
      <c r="P64" s="39">
        <f t="shared" si="40"/>
        <v>30000</v>
      </c>
      <c r="Q64" s="35">
        <f t="shared" si="41"/>
        <v>440</v>
      </c>
      <c r="R64" s="36">
        <v>0.75</v>
      </c>
      <c r="S64" s="35">
        <f t="shared" si="42"/>
        <v>63647.126839295983</v>
      </c>
      <c r="T64" s="35">
        <v>0</v>
      </c>
      <c r="U64" s="35">
        <f t="shared" si="42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7">O64*1.1</f>
        <v>4620150562.5000029</v>
      </c>
      <c r="P65" s="39">
        <f t="shared" si="40"/>
        <v>30000</v>
      </c>
      <c r="Q65" s="35">
        <f t="shared" si="41"/>
        <v>445</v>
      </c>
      <c r="R65" s="36">
        <v>0.75</v>
      </c>
      <c r="S65" s="35">
        <f t="shared" si="42"/>
        <v>76376.552207155182</v>
      </c>
      <c r="T65" s="35">
        <v>0</v>
      </c>
      <c r="U65" s="35">
        <f t="shared" si="42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0"/>
        <v>30000</v>
      </c>
      <c r="Q66" s="35">
        <f t="shared" si="41"/>
        <v>450</v>
      </c>
      <c r="R66" s="36">
        <v>0.75</v>
      </c>
      <c r="S66" s="35">
        <f t="shared" si="42"/>
        <v>106927.17309001726</v>
      </c>
      <c r="T66" s="35">
        <v>0</v>
      </c>
      <c r="U66" s="35">
        <f t="shared" si="42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0"/>
        <v>30000</v>
      </c>
      <c r="Q67" s="35">
        <f t="shared" si="41"/>
        <v>455</v>
      </c>
      <c r="R67" s="36">
        <v>0.75</v>
      </c>
      <c r="S67" s="35">
        <f t="shared" si="42"/>
        <v>139005.32501702243</v>
      </c>
      <c r="T67" s="35">
        <v>0</v>
      </c>
      <c r="U67" s="35">
        <f t="shared" si="42"/>
        <v>200</v>
      </c>
      <c r="V67" s="35">
        <f t="shared" si="42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0"/>
        <v>30000</v>
      </c>
      <c r="Q68" s="35">
        <f t="shared" si="41"/>
        <v>460</v>
      </c>
      <c r="R68" s="36">
        <v>0.75</v>
      </c>
      <c r="S68" s="35">
        <f t="shared" si="42"/>
        <v>180706.92252212917</v>
      </c>
      <c r="T68" s="35">
        <v>0</v>
      </c>
      <c r="U68" s="35">
        <f t="shared" si="42"/>
        <v>200</v>
      </c>
      <c r="V68" s="35">
        <f t="shared" si="42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0"/>
        <v>30000</v>
      </c>
      <c r="Q69" s="35">
        <f t="shared" si="41"/>
        <v>465</v>
      </c>
      <c r="R69" s="36">
        <v>0.75</v>
      </c>
      <c r="S69" s="35">
        <f t="shared" si="42"/>
        <v>234918.99927876794</v>
      </c>
      <c r="T69" s="35">
        <v>0</v>
      </c>
      <c r="U69" s="35">
        <f t="shared" si="42"/>
        <v>200</v>
      </c>
      <c r="V69" s="35">
        <f t="shared" si="42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0"/>
        <v>30000</v>
      </c>
      <c r="Q70" s="35">
        <f t="shared" si="41"/>
        <v>470</v>
      </c>
      <c r="R70" s="36">
        <v>0.75</v>
      </c>
      <c r="S70" s="35">
        <f t="shared" si="42"/>
        <v>281902.79913452151</v>
      </c>
      <c r="T70" s="35">
        <v>0</v>
      </c>
      <c r="U70" s="35">
        <f t="shared" si="42"/>
        <v>200</v>
      </c>
      <c r="V70" s="35">
        <f t="shared" si="42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8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 t="shared" ref="M73" si="59">M61*0.9</f>
        <v>763661250.00000024</v>
      </c>
      <c r="N73" s="39">
        <f>N61*0.9</f>
        <v>6720.219000000001</v>
      </c>
      <c r="O73" s="39">
        <f>O61*0.9*2</f>
        <v>3054645000.000001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3600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 t="shared" ref="M74" si="60">M65*0.9</f>
        <v>2079067753.1250014</v>
      </c>
      <c r="N74" s="39">
        <f>N65*0.9</f>
        <v>18295.796227500006</v>
      </c>
      <c r="O74" s="39">
        <f>O65*0.9*2</f>
        <v>8316271012.5000057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4500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1">M55*1.1</f>
        <v>182617187.5</v>
      </c>
      <c r="N76" s="39">
        <f t="shared" si="61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2">M63*0.9</f>
        <v>1260041062.5000007</v>
      </c>
      <c r="N77" s="39">
        <f t="shared" si="62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3">M65*1.2</f>
        <v>2772090337.5000014</v>
      </c>
      <c r="N78" s="39">
        <f t="shared" si="63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4">N53*1.1</f>
        <v>756.25000000000011</v>
      </c>
      <c r="O79" s="39">
        <f t="shared" si="64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5">N55*1.1</f>
        <v>1607.0312500000002</v>
      </c>
      <c r="O80" s="39">
        <f t="shared" si="65"/>
        <v>365234375</v>
      </c>
      <c r="P80" s="39">
        <f t="shared" ref="P80:Q88" si="66">P52*1</f>
        <v>30000</v>
      </c>
      <c r="Q80" s="39">
        <f t="shared" si="66"/>
        <v>380</v>
      </c>
      <c r="R80" s="36">
        <v>0.75</v>
      </c>
      <c r="S80" s="39">
        <f t="shared" ref="S80:U88" si="67">S52*1</f>
        <v>2640</v>
      </c>
      <c r="T80" s="35">
        <v>0</v>
      </c>
      <c r="U80" s="39">
        <f t="shared" si="67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8">N57*1.1</f>
        <v>2828.3750000000005</v>
      </c>
      <c r="O81" s="39">
        <f t="shared" si="68"/>
        <v>642812500</v>
      </c>
      <c r="P81" s="39">
        <f t="shared" si="66"/>
        <v>30000</v>
      </c>
      <c r="Q81" s="39">
        <f t="shared" si="66"/>
        <v>385</v>
      </c>
      <c r="R81" s="36">
        <v>0.75</v>
      </c>
      <c r="S81" s="39">
        <f t="shared" si="67"/>
        <v>3960</v>
      </c>
      <c r="T81" s="35">
        <v>0</v>
      </c>
      <c r="U81" s="39">
        <f t="shared" si="67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69">N59*1.1</f>
        <v>4977.9400000000014</v>
      </c>
      <c r="O82" s="39">
        <f t="shared" si="69"/>
        <v>1131350000.0000002</v>
      </c>
      <c r="P82" s="39">
        <f t="shared" si="66"/>
        <v>30000</v>
      </c>
      <c r="Q82" s="39">
        <f t="shared" si="66"/>
        <v>390</v>
      </c>
      <c r="R82" s="36">
        <v>0.75</v>
      </c>
      <c r="S82" s="39">
        <f t="shared" si="67"/>
        <v>5940</v>
      </c>
      <c r="T82" s="35">
        <v>0</v>
      </c>
      <c r="U82" s="39">
        <f t="shared" si="67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0">N61*1.1</f>
        <v>8213.6010000000024</v>
      </c>
      <c r="O83" s="39">
        <f t="shared" si="70"/>
        <v>1866727500.0000007</v>
      </c>
      <c r="P83" s="39">
        <f t="shared" si="66"/>
        <v>30000</v>
      </c>
      <c r="Q83" s="39">
        <f t="shared" si="66"/>
        <v>395</v>
      </c>
      <c r="R83" s="36">
        <v>0.75</v>
      </c>
      <c r="S83" s="39">
        <f t="shared" si="67"/>
        <v>8316</v>
      </c>
      <c r="T83" s="35">
        <v>0</v>
      </c>
      <c r="U83" s="39">
        <f t="shared" si="67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1">N63*1.1</f>
        <v>13552.441650000004</v>
      </c>
      <c r="O84" s="39">
        <f t="shared" si="71"/>
        <v>3080100375.0000019</v>
      </c>
      <c r="P84" s="39">
        <f t="shared" si="66"/>
        <v>30000</v>
      </c>
      <c r="Q84" s="39">
        <f t="shared" si="66"/>
        <v>400</v>
      </c>
      <c r="R84" s="36">
        <v>0.75</v>
      </c>
      <c r="S84" s="39">
        <f t="shared" si="67"/>
        <v>10810.800000000001</v>
      </c>
      <c r="T84" s="35">
        <v>0</v>
      </c>
      <c r="U84" s="39">
        <f t="shared" si="67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2">N65*1.05</f>
        <v>21345.095598750006</v>
      </c>
      <c r="O85" s="39">
        <f t="shared" si="72"/>
        <v>4851158090.6250029</v>
      </c>
      <c r="P85" s="39">
        <f t="shared" si="66"/>
        <v>30000</v>
      </c>
      <c r="Q85" s="39">
        <f t="shared" si="66"/>
        <v>405</v>
      </c>
      <c r="R85" s="36">
        <v>0.75</v>
      </c>
      <c r="S85" s="39">
        <f t="shared" si="67"/>
        <v>14054.04</v>
      </c>
      <c r="T85" s="35">
        <v>0</v>
      </c>
      <c r="U85" s="39">
        <f t="shared" si="67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3">N85*1.1</f>
        <v>23479.605158625007</v>
      </c>
      <c r="O86" s="39">
        <f t="shared" si="73"/>
        <v>5336273899.6875038</v>
      </c>
      <c r="P86" s="39">
        <f t="shared" si="66"/>
        <v>30000</v>
      </c>
      <c r="Q86" s="39">
        <f t="shared" si="66"/>
        <v>410</v>
      </c>
      <c r="R86" s="36">
        <v>0.75</v>
      </c>
      <c r="S86" s="39">
        <f t="shared" si="67"/>
        <v>16864.848000000002</v>
      </c>
      <c r="T86" s="35">
        <v>0</v>
      </c>
      <c r="U86" s="39">
        <f t="shared" si="67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3"/>
        <v>25827.565674487509</v>
      </c>
      <c r="O87" s="39">
        <f t="shared" si="73"/>
        <v>5869901289.6562548</v>
      </c>
      <c r="P87" s="39">
        <f t="shared" si="66"/>
        <v>30000</v>
      </c>
      <c r="Q87" s="39">
        <f t="shared" si="66"/>
        <v>415</v>
      </c>
      <c r="R87" s="36">
        <v>0.75</v>
      </c>
      <c r="S87" s="39">
        <f t="shared" si="67"/>
        <v>20237.817600000002</v>
      </c>
      <c r="T87" s="35">
        <v>0</v>
      </c>
      <c r="U87" s="39">
        <f t="shared" si="67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3"/>
        <v>28410.322241936261</v>
      </c>
      <c r="O88" s="39">
        <f t="shared" si="73"/>
        <v>6456891418.6218805</v>
      </c>
      <c r="P88" s="39">
        <f t="shared" si="66"/>
        <v>30000</v>
      </c>
      <c r="Q88" s="39">
        <f t="shared" si="66"/>
        <v>420</v>
      </c>
      <c r="R88" s="36">
        <v>0.75</v>
      </c>
      <c r="S88" s="39">
        <f t="shared" si="67"/>
        <v>24285.381119999998</v>
      </c>
      <c r="T88" s="35">
        <v>0</v>
      </c>
      <c r="U88" s="39">
        <f t="shared" si="67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4">N93/10</f>
        <v>296.97937500000006</v>
      </c>
      <c r="O89" s="39">
        <f t="shared" si="74"/>
        <v>67495312.5</v>
      </c>
      <c r="P89" s="39">
        <f t="shared" ref="P89:U89" si="75">P55*1</f>
        <v>30000</v>
      </c>
      <c r="Q89" s="39">
        <f t="shared" si="75"/>
        <v>395</v>
      </c>
      <c r="R89" s="39">
        <f t="shared" si="75"/>
        <v>0.75</v>
      </c>
      <c r="S89" s="39">
        <f t="shared" si="75"/>
        <v>8316</v>
      </c>
      <c r="T89" s="35">
        <v>0</v>
      </c>
      <c r="U89" s="39">
        <f t="shared" si="75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6">N94/8</f>
        <v>1078.0351312500004</v>
      </c>
      <c r="O90" s="39">
        <f t="shared" si="76"/>
        <v>245007984.37500009</v>
      </c>
      <c r="P90" s="39">
        <f t="shared" ref="P90:U90" si="77">P59*1</f>
        <v>30000</v>
      </c>
      <c r="Q90" s="39">
        <f t="shared" si="77"/>
        <v>415</v>
      </c>
      <c r="R90" s="39">
        <f t="shared" si="77"/>
        <v>0.75</v>
      </c>
      <c r="S90" s="39">
        <f t="shared" si="77"/>
        <v>20237.817600000002</v>
      </c>
      <c r="T90" s="35">
        <v>0</v>
      </c>
      <c r="U90" s="39">
        <f t="shared" si="77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8">N95/6</f>
        <v>3735.3917297812513</v>
      </c>
      <c r="O91" s="39">
        <f t="shared" si="78"/>
        <v>848952665.85937548</v>
      </c>
      <c r="P91" s="39">
        <f t="shared" ref="P91:U91" si="79">P63*1</f>
        <v>30000</v>
      </c>
      <c r="Q91" s="39">
        <f t="shared" si="79"/>
        <v>435</v>
      </c>
      <c r="R91" s="39">
        <f t="shared" si="79"/>
        <v>0.75</v>
      </c>
      <c r="S91" s="39">
        <f t="shared" si="79"/>
        <v>53039.272366079997</v>
      </c>
      <c r="T91" s="35">
        <v>0</v>
      </c>
      <c r="U91" s="39">
        <f t="shared" si="79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0">N96/4</f>
        <v>6779.7359895529717</v>
      </c>
      <c r="O92" s="39">
        <f t="shared" si="80"/>
        <v>1540849088.5347669</v>
      </c>
      <c r="P92" s="39">
        <f t="shared" ref="P92:U92" si="81">P69*1</f>
        <v>30000</v>
      </c>
      <c r="Q92" s="39">
        <f t="shared" si="81"/>
        <v>465</v>
      </c>
      <c r="R92" s="39">
        <f t="shared" si="81"/>
        <v>0.75</v>
      </c>
      <c r="S92" s="39">
        <f t="shared" si="81"/>
        <v>234918.99927876794</v>
      </c>
      <c r="T92" s="35">
        <v>0</v>
      </c>
      <c r="U92" s="39">
        <f t="shared" si="81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2">N81*1.05</f>
        <v>2969.7937500000007</v>
      </c>
      <c r="O93" s="39">
        <f t="shared" si="82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3">N83*1.05</f>
        <v>8624.2810500000032</v>
      </c>
      <c r="O94" s="39">
        <f t="shared" si="83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4">N85*1.05</f>
        <v>22412.350378687508</v>
      </c>
      <c r="O95" s="39">
        <f t="shared" si="84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5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6">P4</f>
        <v>100</v>
      </c>
      <c r="Q97" s="39">
        <f t="shared" si="86"/>
        <v>350</v>
      </c>
      <c r="R97" s="39">
        <f t="shared" si="86"/>
        <v>1</v>
      </c>
      <c r="S97" s="39">
        <f t="shared" si="86"/>
        <v>11.000000000000002</v>
      </c>
      <c r="T97" s="35">
        <v>0</v>
      </c>
      <c r="U97" s="39">
        <f t="shared" si="86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7">P4</f>
        <v>100</v>
      </c>
      <c r="Q98" s="39">
        <f t="shared" si="87"/>
        <v>350</v>
      </c>
      <c r="R98" s="39">
        <f t="shared" si="87"/>
        <v>1</v>
      </c>
      <c r="S98" s="39">
        <f t="shared" si="87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7"/>
        <v>100</v>
      </c>
      <c r="Q99" s="39">
        <f t="shared" si="87"/>
        <v>355</v>
      </c>
      <c r="R99" s="39">
        <f t="shared" si="87"/>
        <v>1</v>
      </c>
      <c r="S99" s="39">
        <f t="shared" si="87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419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8">N62*1.25</f>
        <v>14000.456250000003</v>
      </c>
      <c r="O100">
        <f t="shared" si="88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420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421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422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416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417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418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423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424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89">N88*1.05</f>
        <v>29830.838354033076</v>
      </c>
      <c r="O109">
        <f t="shared" si="89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K111" s="46"/>
      <c r="M111">
        <f>M74*1.3</f>
        <v>2702788079.0625019</v>
      </c>
      <c r="N111">
        <f>N74*1.3</f>
        <v>23784.535095750009</v>
      </c>
      <c r="O111">
        <f>O74*1.3</f>
        <v>10811152316.250008</v>
      </c>
      <c r="P111" s="53">
        <f t="shared" ref="P111:Y111" si="90">P74</f>
        <v>30000</v>
      </c>
      <c r="Q111" s="53">
        <f t="shared" si="90"/>
        <v>420</v>
      </c>
      <c r="R111" s="53">
        <f t="shared" si="90"/>
        <v>0.75</v>
      </c>
      <c r="S111" s="53">
        <f t="shared" si="90"/>
        <v>24285.381119999998</v>
      </c>
      <c r="T111" s="35">
        <v>0</v>
      </c>
      <c r="U111" s="53">
        <f t="shared" si="90"/>
        <v>200</v>
      </c>
      <c r="V111" s="53">
        <f t="shared" si="90"/>
        <v>500</v>
      </c>
      <c r="W111" s="53">
        <v>20</v>
      </c>
      <c r="X111" s="53">
        <v>4500</v>
      </c>
      <c r="Y111" s="53">
        <f t="shared" si="90"/>
        <v>20</v>
      </c>
      <c r="Z111" s="42">
        <v>500</v>
      </c>
    </row>
    <row r="112" spans="1:26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K112" s="46"/>
      <c r="M112">
        <f>M111*1.02</f>
        <v>2756843840.6437521</v>
      </c>
      <c r="N112">
        <f t="shared" ref="N112:O112" si="91">N111*1.02</f>
        <v>24260.225797665011</v>
      </c>
      <c r="O112">
        <f t="shared" si="91"/>
        <v>11027375362.575008</v>
      </c>
      <c r="P112" s="53">
        <f t="shared" ref="P112:Y114" si="92">P111</f>
        <v>30000</v>
      </c>
      <c r="Q112" s="53">
        <f t="shared" si="92"/>
        <v>420</v>
      </c>
      <c r="R112" s="53">
        <f t="shared" si="92"/>
        <v>0.75</v>
      </c>
      <c r="S112" s="53">
        <f t="shared" si="92"/>
        <v>24285.381119999998</v>
      </c>
      <c r="T112" s="35">
        <v>0</v>
      </c>
      <c r="U112" s="53">
        <f t="shared" si="92"/>
        <v>200</v>
      </c>
      <c r="V112" s="53">
        <f t="shared" si="92"/>
        <v>500</v>
      </c>
      <c r="W112" s="53">
        <v>20</v>
      </c>
      <c r="X112" s="53">
        <v>4500</v>
      </c>
      <c r="Y112" s="53">
        <f t="shared" si="92"/>
        <v>20</v>
      </c>
      <c r="Z112" s="42">
        <v>500</v>
      </c>
    </row>
    <row r="113" spans="1:26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K113" s="46"/>
      <c r="M113">
        <f t="shared" ref="M113:M114" si="93">M112*1.02</f>
        <v>2811980717.4566274</v>
      </c>
      <c r="N113">
        <f t="shared" ref="N113:N114" si="94">N112*1.02</f>
        <v>24745.430313618312</v>
      </c>
      <c r="O113">
        <f t="shared" ref="O113:O114" si="95">O112*1.02</f>
        <v>11247922869.826509</v>
      </c>
      <c r="P113" s="53">
        <f t="shared" si="92"/>
        <v>30000</v>
      </c>
      <c r="Q113" s="53">
        <f t="shared" si="92"/>
        <v>420</v>
      </c>
      <c r="R113" s="53">
        <f t="shared" si="92"/>
        <v>0.75</v>
      </c>
      <c r="S113" s="53">
        <f t="shared" si="92"/>
        <v>24285.381119999998</v>
      </c>
      <c r="T113" s="35">
        <v>0</v>
      </c>
      <c r="U113" s="53">
        <f t="shared" si="92"/>
        <v>200</v>
      </c>
      <c r="V113" s="53">
        <f t="shared" si="92"/>
        <v>500</v>
      </c>
      <c r="W113" s="53">
        <v>20</v>
      </c>
      <c r="X113" s="53">
        <v>4500</v>
      </c>
      <c r="Y113" s="53">
        <f t="shared" si="92"/>
        <v>20</v>
      </c>
      <c r="Z113" s="42">
        <v>500</v>
      </c>
    </row>
    <row r="114" spans="1:26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K114" s="46"/>
      <c r="M114">
        <f t="shared" si="93"/>
        <v>2868220331.8057599</v>
      </c>
      <c r="N114">
        <f t="shared" si="94"/>
        <v>25240.338919890677</v>
      </c>
      <c r="O114">
        <f t="shared" si="95"/>
        <v>11472881327.22304</v>
      </c>
      <c r="P114" s="53">
        <f t="shared" si="92"/>
        <v>30000</v>
      </c>
      <c r="Q114" s="53">
        <f t="shared" si="92"/>
        <v>420</v>
      </c>
      <c r="R114" s="53">
        <f t="shared" si="92"/>
        <v>0.75</v>
      </c>
      <c r="S114" s="53">
        <f t="shared" si="92"/>
        <v>24285.381119999998</v>
      </c>
      <c r="T114" s="35">
        <v>0</v>
      </c>
      <c r="U114" s="53">
        <f t="shared" si="92"/>
        <v>200</v>
      </c>
      <c r="V114" s="53">
        <f t="shared" si="92"/>
        <v>500</v>
      </c>
      <c r="W114" s="53">
        <v>20</v>
      </c>
      <c r="X114" s="53">
        <v>4500</v>
      </c>
      <c r="Y114" s="53">
        <f t="shared" si="92"/>
        <v>20</v>
      </c>
      <c r="Z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40:N42 N44:N45 O41 M41 N3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2019-07-15T06:15:09Z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