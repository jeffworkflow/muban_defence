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BD880365-3130-47A6-8CAE-4D4A3A02A10C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自定义lni!$A$3:$Z$114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9" i="29" l="1"/>
  <c r="L9" i="29"/>
  <c r="L10" i="29" s="1"/>
  <c r="Q111" i="29" l="1"/>
  <c r="Q112" i="29" s="1"/>
  <c r="Q113" i="29" s="1"/>
  <c r="Q114" i="29" s="1"/>
  <c r="V111" i="29"/>
  <c r="V112" i="29" s="1"/>
  <c r="V113" i="29" s="1"/>
  <c r="V114" i="29" s="1"/>
  <c r="W111" i="29"/>
  <c r="W112" i="29" s="1"/>
  <c r="W113" i="29" s="1"/>
  <c r="W114" i="29" s="1"/>
  <c r="X111" i="29"/>
  <c r="X112" i="29" s="1"/>
  <c r="X113" i="29" s="1"/>
  <c r="X114" i="29" s="1"/>
  <c r="M111" i="29"/>
  <c r="M112" i="29" s="1"/>
  <c r="M113" i="29" s="1"/>
  <c r="M114" i="29" s="1"/>
  <c r="L29" i="29" l="1"/>
  <c r="U100" i="29" l="1"/>
  <c r="X99" i="29" l="1"/>
  <c r="U99" i="29"/>
  <c r="Q99" i="29"/>
  <c r="P99" i="29"/>
  <c r="O99" i="29"/>
  <c r="N29" i="29" l="1"/>
  <c r="L43" i="29" l="1"/>
  <c r="L40" i="29" s="1"/>
  <c r="L44" i="29" s="1"/>
  <c r="L41" i="29" s="1"/>
  <c r="L45" i="29" s="1"/>
  <c r="L42" i="29" s="1"/>
  <c r="N39" i="29" l="1"/>
  <c r="N43" i="29" s="1"/>
  <c r="N40" i="29" s="1"/>
  <c r="N44" i="29" s="1"/>
  <c r="N41" i="29" s="1"/>
  <c r="N45" i="29" s="1"/>
  <c r="N42" i="29" s="1"/>
  <c r="N49" i="29" l="1"/>
  <c r="N51" i="29" s="1"/>
  <c r="N52" i="29" s="1"/>
  <c r="N53" i="29" s="1"/>
  <c r="L49" i="29"/>
  <c r="L51" i="29" s="1"/>
  <c r="L52" i="29" s="1"/>
  <c r="L53" i="29" s="1"/>
  <c r="N54" i="29" l="1"/>
  <c r="N72" i="29" s="1"/>
  <c r="N79" i="29"/>
  <c r="L54" i="29"/>
  <c r="L55" i="29" s="1"/>
  <c r="L80" i="29" s="1"/>
  <c r="L79" i="29"/>
  <c r="L5" i="29"/>
  <c r="N5" i="29" s="1"/>
  <c r="N37" i="29" s="1"/>
  <c r="N55" i="29" l="1"/>
  <c r="N80" i="29" s="1"/>
  <c r="L72" i="29"/>
  <c r="L37" i="29"/>
  <c r="L76" i="29"/>
  <c r="L56" i="29"/>
  <c r="L57" i="29" s="1"/>
  <c r="L81" i="29" s="1"/>
  <c r="L93" i="29" s="1"/>
  <c r="L89" i="29" s="1"/>
  <c r="N47" i="29"/>
  <c r="L47" i="29"/>
  <c r="N76" i="29" l="1"/>
  <c r="N56" i="29"/>
  <c r="N57" i="29" s="1"/>
  <c r="N81" i="29" s="1"/>
  <c r="N93" i="29" s="1"/>
  <c r="N89" i="29" s="1"/>
  <c r="L58" i="29"/>
  <c r="L59" i="29" s="1"/>
  <c r="L82" i="29" s="1"/>
  <c r="L100" i="29" s="1"/>
  <c r="N58" i="29"/>
  <c r="N59" i="29" s="1"/>
  <c r="N82" i="29" s="1"/>
  <c r="N100" i="29" s="1"/>
  <c r="N6" i="29"/>
  <c r="N7" i="29" s="1"/>
  <c r="N10" i="29" s="1"/>
  <c r="N11" i="29" s="1"/>
  <c r="N12" i="29" s="1"/>
  <c r="N13" i="29" s="1"/>
  <c r="L6" i="29"/>
  <c r="L60" i="29" l="1"/>
  <c r="L61" i="29" s="1"/>
  <c r="L83" i="29" s="1"/>
  <c r="L94" i="29" s="1"/>
  <c r="L90" i="29" s="1"/>
  <c r="N30" i="29"/>
  <c r="R30" i="29" s="1"/>
  <c r="N14" i="29"/>
  <c r="N15" i="29" s="1"/>
  <c r="N16" i="29" s="1"/>
  <c r="N17" i="29" s="1"/>
  <c r="N18" i="29" s="1"/>
  <c r="N60" i="29"/>
  <c r="N61" i="29" s="1"/>
  <c r="N83" i="29" s="1"/>
  <c r="N94" i="29" s="1"/>
  <c r="N90" i="29" s="1"/>
  <c r="L7" i="29"/>
  <c r="L11" i="29" s="1"/>
  <c r="X98" i="29"/>
  <c r="U98" i="29"/>
  <c r="Q98" i="29"/>
  <c r="P98" i="29"/>
  <c r="O98" i="29"/>
  <c r="X97" i="29"/>
  <c r="U97" i="29"/>
  <c r="T97" i="29"/>
  <c r="Q97" i="29"/>
  <c r="P97" i="29"/>
  <c r="O97" i="29"/>
  <c r="X94" i="29"/>
  <c r="X93" i="29"/>
  <c r="Q92" i="29"/>
  <c r="X91" i="29"/>
  <c r="Q91" i="29"/>
  <c r="X90" i="29"/>
  <c r="Q90" i="29"/>
  <c r="X89" i="29"/>
  <c r="Q89" i="29"/>
  <c r="U70" i="29"/>
  <c r="T70" i="29"/>
  <c r="P70" i="29"/>
  <c r="O70" i="29"/>
  <c r="U69" i="29"/>
  <c r="U96" i="29" s="1"/>
  <c r="T69" i="29"/>
  <c r="P69" i="29"/>
  <c r="P92" i="29" s="1"/>
  <c r="O69" i="29"/>
  <c r="O92" i="29" s="1"/>
  <c r="U68" i="29"/>
  <c r="T68" i="29"/>
  <c r="P68" i="29"/>
  <c r="O68" i="29"/>
  <c r="U67" i="29"/>
  <c r="T67" i="29"/>
  <c r="P67" i="29"/>
  <c r="O67" i="29"/>
  <c r="U66" i="29"/>
  <c r="T66" i="29"/>
  <c r="P66" i="29"/>
  <c r="O66" i="29"/>
  <c r="U65" i="29"/>
  <c r="U95" i="29" s="1"/>
  <c r="T65" i="29"/>
  <c r="T95" i="29" s="1"/>
  <c r="P65" i="29"/>
  <c r="P95" i="29" s="1"/>
  <c r="O65" i="29"/>
  <c r="O95" i="29" s="1"/>
  <c r="U64" i="29"/>
  <c r="U78" i="29" s="1"/>
  <c r="T64" i="29"/>
  <c r="T78" i="29" s="1"/>
  <c r="P64" i="29"/>
  <c r="P78" i="29" s="1"/>
  <c r="O64" i="29"/>
  <c r="O78" i="29" s="1"/>
  <c r="U63" i="29"/>
  <c r="U91" i="29" s="1"/>
  <c r="T63" i="29"/>
  <c r="T91" i="29" s="1"/>
  <c r="P63" i="29"/>
  <c r="P91" i="29" s="1"/>
  <c r="O63" i="29"/>
  <c r="O91" i="29" s="1"/>
  <c r="U62" i="29"/>
  <c r="T62" i="29"/>
  <c r="P62" i="29"/>
  <c r="O62" i="29"/>
  <c r="U61" i="29"/>
  <c r="U94" i="29" s="1"/>
  <c r="T61" i="29"/>
  <c r="T94" i="29" s="1"/>
  <c r="P61" i="29"/>
  <c r="P94" i="29" s="1"/>
  <c r="O61" i="29"/>
  <c r="O94" i="29" s="1"/>
  <c r="U60" i="29"/>
  <c r="U74" i="29" s="1"/>
  <c r="U111" i="29" s="1"/>
  <c r="U112" i="29" s="1"/>
  <c r="U113" i="29" s="1"/>
  <c r="U114" i="29" s="1"/>
  <c r="T60" i="29"/>
  <c r="T88" i="29" s="1"/>
  <c r="P60" i="29"/>
  <c r="P74" i="29" s="1"/>
  <c r="P111" i="29" s="1"/>
  <c r="P112" i="29" s="1"/>
  <c r="P113" i="29" s="1"/>
  <c r="P114" i="29" s="1"/>
  <c r="O60" i="29"/>
  <c r="O88" i="29" s="1"/>
  <c r="U59" i="29"/>
  <c r="U87" i="29" s="1"/>
  <c r="T59" i="29"/>
  <c r="T90" i="29" s="1"/>
  <c r="P59" i="29"/>
  <c r="P87" i="29" s="1"/>
  <c r="O59" i="29"/>
  <c r="O87" i="29" s="1"/>
  <c r="U58" i="29"/>
  <c r="U77" i="29" s="1"/>
  <c r="T58" i="29"/>
  <c r="T86" i="29" s="1"/>
  <c r="P58" i="29"/>
  <c r="P86" i="29" s="1"/>
  <c r="O58" i="29"/>
  <c r="O77" i="29" s="1"/>
  <c r="U57" i="29"/>
  <c r="U85" i="29" s="1"/>
  <c r="T57" i="29"/>
  <c r="T93" i="29" s="1"/>
  <c r="P57" i="29"/>
  <c r="P85" i="29" s="1"/>
  <c r="O57" i="29"/>
  <c r="O93" i="29" s="1"/>
  <c r="U56" i="29"/>
  <c r="U84" i="29" s="1"/>
  <c r="T56" i="29"/>
  <c r="T84" i="29" s="1"/>
  <c r="P56" i="29"/>
  <c r="P84" i="29" s="1"/>
  <c r="O56" i="29"/>
  <c r="O84" i="29" s="1"/>
  <c r="U55" i="29"/>
  <c r="U83" i="29" s="1"/>
  <c r="T55" i="29"/>
  <c r="T89" i="29" s="1"/>
  <c r="P55" i="29"/>
  <c r="P73" i="29" s="1"/>
  <c r="O55" i="29"/>
  <c r="O73" i="29" s="1"/>
  <c r="U54" i="29"/>
  <c r="U82" i="29" s="1"/>
  <c r="T54" i="29"/>
  <c r="T82" i="29" s="1"/>
  <c r="P54" i="29"/>
  <c r="P82" i="29" s="1"/>
  <c r="O54" i="29"/>
  <c r="O82" i="29" s="1"/>
  <c r="U53" i="29"/>
  <c r="U81" i="29" s="1"/>
  <c r="T53" i="29"/>
  <c r="T81" i="29" s="1"/>
  <c r="P53" i="29"/>
  <c r="P81" i="29" s="1"/>
  <c r="O53" i="29"/>
  <c r="O81" i="29" s="1"/>
  <c r="U52" i="29"/>
  <c r="T52" i="29"/>
  <c r="T80" i="29" s="1"/>
  <c r="P52" i="29"/>
  <c r="P80" i="29" s="1"/>
  <c r="O52" i="29"/>
  <c r="O80" i="29" s="1"/>
  <c r="U51" i="29"/>
  <c r="T51" i="29"/>
  <c r="T72" i="29" s="1"/>
  <c r="T100" i="29" s="1"/>
  <c r="P51" i="29"/>
  <c r="P72" i="29" s="1"/>
  <c r="P100" i="29" s="1"/>
  <c r="O51" i="29"/>
  <c r="O72" i="29" s="1"/>
  <c r="O100" i="29" s="1"/>
  <c r="U50" i="29"/>
  <c r="T50" i="29"/>
  <c r="T79" i="29" s="1"/>
  <c r="P50" i="29"/>
  <c r="P79" i="29" s="1"/>
  <c r="O50" i="29"/>
  <c r="O79" i="29" s="1"/>
  <c r="U49" i="29"/>
  <c r="U75" i="29" s="1"/>
  <c r="T49" i="29"/>
  <c r="T75" i="29" s="1"/>
  <c r="P49" i="29"/>
  <c r="P75" i="29" s="1"/>
  <c r="O49" i="29"/>
  <c r="O75" i="29" s="1"/>
  <c r="U48" i="29"/>
  <c r="U71" i="29" s="1"/>
  <c r="T48" i="29"/>
  <c r="T71" i="29" s="1"/>
  <c r="P48" i="29"/>
  <c r="P71" i="29" s="1"/>
  <c r="O48" i="29"/>
  <c r="O71" i="29" s="1"/>
  <c r="U47" i="29"/>
  <c r="T47" i="29"/>
  <c r="P47" i="29"/>
  <c r="O47" i="29"/>
  <c r="U46" i="29"/>
  <c r="T46" i="29"/>
  <c r="P46" i="29"/>
  <c r="O46" i="29"/>
  <c r="X45" i="29"/>
  <c r="U45" i="29"/>
  <c r="T45" i="29"/>
  <c r="Q45" i="29"/>
  <c r="P45" i="29"/>
  <c r="O45" i="29"/>
  <c r="X44" i="29"/>
  <c r="U44" i="29"/>
  <c r="T44" i="29"/>
  <c r="Q44" i="29"/>
  <c r="P44" i="29"/>
  <c r="O44" i="29"/>
  <c r="X43" i="29"/>
  <c r="T43" i="29"/>
  <c r="Q43" i="29"/>
  <c r="P43" i="29"/>
  <c r="O43" i="29"/>
  <c r="U42" i="29"/>
  <c r="T42" i="29"/>
  <c r="Q42" i="29"/>
  <c r="P42" i="29"/>
  <c r="O42" i="29"/>
  <c r="U41" i="29"/>
  <c r="T41" i="29"/>
  <c r="Q41" i="29"/>
  <c r="P41" i="29"/>
  <c r="O41" i="29"/>
  <c r="U40" i="29"/>
  <c r="T40" i="29"/>
  <c r="Q40" i="29"/>
  <c r="P40" i="29"/>
  <c r="O40" i="29"/>
  <c r="U39" i="29"/>
  <c r="T39" i="29"/>
  <c r="Q39" i="29"/>
  <c r="P39" i="29"/>
  <c r="O39" i="29"/>
  <c r="U38" i="29"/>
  <c r="T38" i="29"/>
  <c r="Q38" i="29"/>
  <c r="P38" i="29"/>
  <c r="O38" i="29"/>
  <c r="U37" i="29"/>
  <c r="T37" i="29"/>
  <c r="Q37" i="29"/>
  <c r="P37" i="29"/>
  <c r="O37" i="29"/>
  <c r="U36" i="29"/>
  <c r="T36" i="29"/>
  <c r="Q36" i="29"/>
  <c r="P36" i="29"/>
  <c r="O36" i="29"/>
  <c r="U35" i="29"/>
  <c r="T35" i="29"/>
  <c r="Q35" i="29"/>
  <c r="P35" i="29"/>
  <c r="O35" i="29"/>
  <c r="S34" i="29"/>
  <c r="U33" i="29"/>
  <c r="S33" i="29"/>
  <c r="U32" i="29"/>
  <c r="S32" i="29"/>
  <c r="U31" i="29"/>
  <c r="S31" i="29"/>
  <c r="U30" i="29"/>
  <c r="S30" i="29"/>
  <c r="U29" i="29"/>
  <c r="S29" i="29"/>
  <c r="S28" i="29"/>
  <c r="S70" i="29" s="1"/>
  <c r="S27" i="29"/>
  <c r="S69" i="29" s="1"/>
  <c r="S92" i="29" s="1"/>
  <c r="S26" i="29"/>
  <c r="S68" i="29" s="1"/>
  <c r="S25" i="29"/>
  <c r="S67" i="29" s="1"/>
  <c r="S24" i="29"/>
  <c r="S66" i="29" s="1"/>
  <c r="S23" i="29"/>
  <c r="S45" i="29" s="1"/>
  <c r="S22" i="29"/>
  <c r="S64" i="29" s="1"/>
  <c r="S78" i="29" s="1"/>
  <c r="S21" i="29"/>
  <c r="S63" i="29" s="1"/>
  <c r="S91" i="29" s="1"/>
  <c r="S20" i="29"/>
  <c r="S62" i="29" s="1"/>
  <c r="S19" i="29"/>
  <c r="S61" i="29" s="1"/>
  <c r="S94" i="29" s="1"/>
  <c r="S18" i="29"/>
  <c r="S42" i="29" s="1"/>
  <c r="S17" i="29"/>
  <c r="S59" i="29" s="1"/>
  <c r="S16" i="29"/>
  <c r="S41" i="29" s="1"/>
  <c r="S15" i="29"/>
  <c r="S57" i="29" s="1"/>
  <c r="S93" i="29" s="1"/>
  <c r="S14" i="29"/>
  <c r="S56" i="29" s="1"/>
  <c r="S84" i="29" s="1"/>
  <c r="S13" i="29"/>
  <c r="S55" i="29" s="1"/>
  <c r="S12" i="29"/>
  <c r="S54" i="29" s="1"/>
  <c r="S82" i="29" s="1"/>
  <c r="S11" i="29"/>
  <c r="S53" i="29" s="1"/>
  <c r="S10" i="29"/>
  <c r="S38" i="29" s="1"/>
  <c r="R10" i="29"/>
  <c r="S9" i="29"/>
  <c r="S51" i="29" s="1"/>
  <c r="S72" i="29" s="1"/>
  <c r="S100" i="29" s="1"/>
  <c r="S8" i="29"/>
  <c r="S37" i="29" s="1"/>
  <c r="S7" i="29"/>
  <c r="S49" i="29" s="1"/>
  <c r="S75" i="29" s="1"/>
  <c r="S6" i="29"/>
  <c r="S48" i="29" s="1"/>
  <c r="S71" i="29" s="1"/>
  <c r="S5" i="29"/>
  <c r="S4" i="29"/>
  <c r="S35" i="29" s="1"/>
  <c r="N4" i="29"/>
  <c r="L12" i="29" l="1"/>
  <c r="L13" i="29" s="1"/>
  <c r="L14" i="29" s="1"/>
  <c r="L15" i="29" s="1"/>
  <c r="L16" i="29" s="1"/>
  <c r="L17" i="29" s="1"/>
  <c r="L18" i="29" s="1"/>
  <c r="U88" i="29"/>
  <c r="U92" i="29"/>
  <c r="S44" i="29"/>
  <c r="P96" i="29"/>
  <c r="S52" i="29"/>
  <c r="S80" i="29" s="1"/>
  <c r="T83" i="29"/>
  <c r="S47" i="29"/>
  <c r="S99" i="29"/>
  <c r="U90" i="29"/>
  <c r="P77" i="29"/>
  <c r="R18" i="29"/>
  <c r="R60" i="29" s="1"/>
  <c r="R88" i="29" s="1"/>
  <c r="N31" i="29"/>
  <c r="R31" i="29" s="1"/>
  <c r="S40" i="29"/>
  <c r="T77" i="29"/>
  <c r="T73" i="29"/>
  <c r="S39" i="29"/>
  <c r="U86" i="29"/>
  <c r="R16" i="29"/>
  <c r="R41" i="29" s="1"/>
  <c r="O74" i="29"/>
  <c r="O111" i="29" s="1"/>
  <c r="O112" i="29" s="1"/>
  <c r="O113" i="29" s="1"/>
  <c r="O114" i="29" s="1"/>
  <c r="S85" i="29"/>
  <c r="N62" i="29"/>
  <c r="N63" i="29" s="1"/>
  <c r="N84" i="29" s="1"/>
  <c r="N73" i="29"/>
  <c r="O96" i="29"/>
  <c r="L73" i="29"/>
  <c r="L62" i="29"/>
  <c r="L63" i="29" s="1"/>
  <c r="L84" i="29" s="1"/>
  <c r="N19" i="29"/>
  <c r="N20" i="29" s="1"/>
  <c r="U89" i="29"/>
  <c r="U93" i="29"/>
  <c r="R4" i="29"/>
  <c r="R35" i="29" s="1"/>
  <c r="R29" i="29"/>
  <c r="R6" i="29"/>
  <c r="R48" i="29" s="1"/>
  <c r="R71" i="29" s="1"/>
  <c r="T85" i="29"/>
  <c r="R52" i="29"/>
  <c r="R80" i="29" s="1"/>
  <c r="R38" i="29"/>
  <c r="S83" i="29"/>
  <c r="S89" i="29"/>
  <c r="S73" i="29"/>
  <c r="S76" i="29"/>
  <c r="S81" i="29"/>
  <c r="S87" i="29"/>
  <c r="S90" i="29"/>
  <c r="S60" i="29"/>
  <c r="T96" i="29"/>
  <c r="T92" i="29"/>
  <c r="O90" i="29"/>
  <c r="R5" i="29"/>
  <c r="S46" i="29"/>
  <c r="S96" i="29"/>
  <c r="S97" i="29"/>
  <c r="R15" i="29"/>
  <c r="R57" i="29" s="1"/>
  <c r="S36" i="29"/>
  <c r="T74" i="29"/>
  <c r="T111" i="29" s="1"/>
  <c r="T112" i="29" s="1"/>
  <c r="T113" i="29" s="1"/>
  <c r="T114" i="29" s="1"/>
  <c r="O76" i="29"/>
  <c r="O83" i="29"/>
  <c r="O85" i="29"/>
  <c r="O86" i="29"/>
  <c r="O89" i="29"/>
  <c r="S98" i="29"/>
  <c r="R8" i="29"/>
  <c r="R13" i="29"/>
  <c r="R55" i="29" s="1"/>
  <c r="S50" i="29"/>
  <c r="S79" i="29" s="1"/>
  <c r="S65" i="29"/>
  <c r="S95" i="29" s="1"/>
  <c r="P76" i="29"/>
  <c r="P88" i="29"/>
  <c r="P93" i="29"/>
  <c r="P89" i="29"/>
  <c r="P83" i="29"/>
  <c r="T76" i="29"/>
  <c r="T87" i="29"/>
  <c r="R74" i="29"/>
  <c r="R111" i="29" s="1"/>
  <c r="R112" i="29" s="1"/>
  <c r="R113" i="29" s="1"/>
  <c r="R114" i="29" s="1"/>
  <c r="R9" i="29"/>
  <c r="R51" i="29" s="1"/>
  <c r="R72" i="29" s="1"/>
  <c r="R100" i="29" s="1"/>
  <c r="R14" i="29"/>
  <c r="S43" i="29"/>
  <c r="R7" i="29"/>
  <c r="R49" i="29" s="1"/>
  <c r="R75" i="29" s="1"/>
  <c r="R17" i="29"/>
  <c r="R59" i="29" s="1"/>
  <c r="S58" i="29"/>
  <c r="P90" i="29"/>
  <c r="U73" i="29"/>
  <c r="L30" i="29" l="1"/>
  <c r="R58" i="29"/>
  <c r="R42" i="29"/>
  <c r="R47" i="29"/>
  <c r="R99" i="29"/>
  <c r="R97" i="29"/>
  <c r="R19" i="29"/>
  <c r="R61" i="29" s="1"/>
  <c r="R94" i="29" s="1"/>
  <c r="L19" i="29"/>
  <c r="L20" i="29" s="1"/>
  <c r="L21" i="29" s="1"/>
  <c r="L22" i="29" s="1"/>
  <c r="L23" i="29" s="1"/>
  <c r="L31" i="29"/>
  <c r="N21" i="29"/>
  <c r="R20" i="29"/>
  <c r="R62" i="29" s="1"/>
  <c r="L64" i="29"/>
  <c r="L65" i="29" s="1"/>
  <c r="L85" i="29" s="1"/>
  <c r="L77" i="29"/>
  <c r="N64" i="29"/>
  <c r="N65" i="29" s="1"/>
  <c r="N85" i="29" s="1"/>
  <c r="N77" i="29"/>
  <c r="R12" i="29"/>
  <c r="R54" i="29" s="1"/>
  <c r="R82" i="29" s="1"/>
  <c r="R11" i="29"/>
  <c r="R53" i="29" s="1"/>
  <c r="R76" i="29" s="1"/>
  <c r="R36" i="29"/>
  <c r="R98" i="29"/>
  <c r="R46" i="29"/>
  <c r="R90" i="29"/>
  <c r="R87" i="29"/>
  <c r="R93" i="29"/>
  <c r="R85" i="29"/>
  <c r="R89" i="29"/>
  <c r="R73" i="29"/>
  <c r="R83" i="29"/>
  <c r="S86" i="29"/>
  <c r="S77" i="29"/>
  <c r="S74" i="29"/>
  <c r="S111" i="29" s="1"/>
  <c r="S112" i="29" s="1"/>
  <c r="S113" i="29" s="1"/>
  <c r="S114" i="29" s="1"/>
  <c r="S88" i="29"/>
  <c r="R86" i="29"/>
  <c r="R77" i="29"/>
  <c r="R56" i="29"/>
  <c r="R84" i="29" s="1"/>
  <c r="R40" i="29"/>
  <c r="R44" i="29"/>
  <c r="R50" i="29"/>
  <c r="R79" i="29" s="1"/>
  <c r="R37" i="29"/>
  <c r="R43" i="29"/>
  <c r="N95" i="29" l="1"/>
  <c r="N91" i="29" s="1"/>
  <c r="N86" i="29"/>
  <c r="N87" i="29" s="1"/>
  <c r="L24" i="29"/>
  <c r="L32" i="29"/>
  <c r="L33" i="29" s="1"/>
  <c r="L34" i="29" s="1"/>
  <c r="L95" i="29"/>
  <c r="L91" i="29" s="1"/>
  <c r="L86" i="29"/>
  <c r="L87" i="29" s="1"/>
  <c r="L74" i="29"/>
  <c r="L111" i="29" s="1"/>
  <c r="L112" i="29" s="1"/>
  <c r="L113" i="29" s="1"/>
  <c r="L114" i="29" s="1"/>
  <c r="L78" i="29"/>
  <c r="N78" i="29"/>
  <c r="N74" i="29"/>
  <c r="N111" i="29" s="1"/>
  <c r="N112" i="29" s="1"/>
  <c r="N113" i="29" s="1"/>
  <c r="N114" i="29" s="1"/>
  <c r="N22" i="29"/>
  <c r="R21" i="29"/>
  <c r="R63" i="29" s="1"/>
  <c r="R91" i="29" s="1"/>
  <c r="R81" i="29"/>
  <c r="R39" i="29"/>
  <c r="L88" i="29" l="1"/>
  <c r="L96" i="29"/>
  <c r="L25" i="29"/>
  <c r="L67" i="29" s="1"/>
  <c r="L66" i="29"/>
  <c r="N88" i="29"/>
  <c r="N96" i="29"/>
  <c r="N23" i="29"/>
  <c r="R22" i="29"/>
  <c r="R64" i="29" s="1"/>
  <c r="R78" i="29" s="1"/>
  <c r="N109" i="29" l="1"/>
  <c r="N92" i="29"/>
  <c r="L26" i="29"/>
  <c r="L68" i="29" s="1"/>
  <c r="L109" i="29"/>
  <c r="L92" i="29"/>
  <c r="N32" i="29"/>
  <c r="R32" i="29" s="1"/>
  <c r="N24" i="29"/>
  <c r="R23" i="29"/>
  <c r="L27" i="29" l="1"/>
  <c r="L69" i="29" s="1"/>
  <c r="R65" i="29"/>
  <c r="R95" i="29" s="1"/>
  <c r="R45" i="29"/>
  <c r="N25" i="29"/>
  <c r="R24" i="29"/>
  <c r="R66" i="29" s="1"/>
  <c r="N66" i="29"/>
  <c r="L28" i="29" l="1"/>
  <c r="L70" i="29" s="1"/>
  <c r="N26" i="29"/>
  <c r="N67" i="29"/>
  <c r="R25" i="29"/>
  <c r="R67" i="29" s="1"/>
  <c r="N27" i="29" l="1"/>
  <c r="R26" i="29"/>
  <c r="R68" i="29" s="1"/>
  <c r="N68" i="29"/>
  <c r="N28" i="29" l="1"/>
  <c r="N69" i="29"/>
  <c r="R27" i="29"/>
  <c r="R69" i="29" s="1"/>
  <c r="N33" i="29" l="1"/>
  <c r="R28" i="29"/>
  <c r="R70" i="29" s="1"/>
  <c r="N70" i="29"/>
  <c r="R96" i="29"/>
  <c r="R92" i="29"/>
  <c r="N34" i="29" l="1"/>
  <c r="R34" i="29" s="1"/>
  <c r="R33" i="29"/>
</calcChain>
</file>

<file path=xl/sharedStrings.xml><?xml version="1.0" encoding="utf-8"?>
<sst xmlns="http://schemas.openxmlformats.org/spreadsheetml/2006/main" count="859" uniqueCount="440">
  <si>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</si>
  <si>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</si>
  <si>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</si>
  <si>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</si>
  <si>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</si>
  <si>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</si>
  <si>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</si>
  <si>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</si>
  <si>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</si>
  <si>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</si>
  <si>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</si>
  <si>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</si>
  <si>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</si>
  <si>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</si>
  <si>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</si>
  <si>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</si>
  <si>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</si>
  <si>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</si>
  <si>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</si>
  <si>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</si>
  <si>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</si>
  <si>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</si>
  <si>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</si>
  <si>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</si>
  <si>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</si>
  <si>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</si>
  <si>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</si>
  <si>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</si>
  <si>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</si>
  <si>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</si>
  <si>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</si>
  <si>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</si>
  <si>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</si>
  <si>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</si>
  <si>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</si>
  <si>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</si>
  <si>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</si>
  <si>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</si>
  <si>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</si>
  <si>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</si>
  <si>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</si>
  <si>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</si>
  <si>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</si>
  <si>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</si>
  <si>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</si>
  <si>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</si>
  <si>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</si>
  <si>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</si>
  <si>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</si>
  <si>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</si>
  <si>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</si>
  <si>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</si>
  <si>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</si>
  <si>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</si>
  <si>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</si>
  <si>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</si>
  <si>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</si>
  <si>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</si>
  <si>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</si>
  <si>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</si>
  <si>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</si>
  <si>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</si>
  <si>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</si>
  <si>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</si>
  <si>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</si>
  <si>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</si>
  <si>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</si>
  <si>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</si>
  <si>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</si>
  <si>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</si>
  <si>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</si>
  <si>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</si>
  <si>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</si>
  <si>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</si>
  <si>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</si>
  <si>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</si>
  <si>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</si>
  <si>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</si>
  <si>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</si>
  <si>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</si>
  <si>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</si>
  <si>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</si>
  <si>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</si>
  <si>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</si>
  <si>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</si>
  <si>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</si>
  <si>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</si>
  <si>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</si>
  <si>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</si>
  <si>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</si>
  <si>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</si>
  <si>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</si>
  <si>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</si>
  <si>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</si>
  <si>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</si>
  <si>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</si>
  <si>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</si>
  <si>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</si>
  <si>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</si>
  <si>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</si>
  <si>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</si>
  <si>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</si>
  <si>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</si>
  <si>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</si>
  <si>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</si>
  <si>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</si>
  <si>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</si>
  <si>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</si>
  <si>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</si>
  <si>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</si>
  <si>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</si>
  <si>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</si>
  <si>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</si>
  <si>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</si>
  <si>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</si>
  <si>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</si>
  <si>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</si>
  <si>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</si>
  <si>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</si>
  <si>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</si>
  <si>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</si>
  <si>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</si>
  <si>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</si>
  <si>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</si>
  <si>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</si>
  <si>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</si>
  <si>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</si>
  <si>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</si>
  <si>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</si>
  <si>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</si>
  <si>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</si>
  <si>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</si>
  <si>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</si>
  <si>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</si>
  <si>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</si>
  <si>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</si>
  <si>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</si>
  <si>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</si>
  <si>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</si>
  <si>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</si>
  <si>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</si>
  <si>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</si>
  <si>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</si>
  <si>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</si>
  <si>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</si>
  <si>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</si>
  <si>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</si>
  <si>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</si>
  <si>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</si>
  <si>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</si>
  <si>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</si>
  <si>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</si>
  <si>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</si>
  <si>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</si>
  <si>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</si>
  <si>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</si>
  <si>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</si>
  <si>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</si>
  <si>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</si>
  <si>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</si>
  <si>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</si>
  <si>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</si>
  <si>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</si>
  <si>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</si>
  <si>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</si>
  <si>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</si>
  <si>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</si>
  <si>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</si>
  <si>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</si>
  <si>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</si>
  <si>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</si>
  <si>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</si>
  <si>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</si>
  <si>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</si>
  <si>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</si>
  <si>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</si>
  <si>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</si>
  <si>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</si>
  <si>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</si>
  <si>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</si>
  <si>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</si>
  <si>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</si>
  <si>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</si>
  <si>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</si>
  <si>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</si>
  <si>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</si>
  <si>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</si>
  <si>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</si>
  <si>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</si>
  <si>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</si>
  <si>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</si>
  <si>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</si>
  <si>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</si>
  <si>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</si>
  <si>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</si>
  <si>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</si>
  <si>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</si>
  <si>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</si>
  <si>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</si>
  <si>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</si>
  <si>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</si>
  <si>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</si>
  <si>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</si>
  <si>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</si>
  <si>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</si>
  <si>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</si>
  <si>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</si>
  <si>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</si>
  <si>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</si>
  <si>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</si>
  <si>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</si>
  <si>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</si>
  <si>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</si>
  <si>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</si>
  <si>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</si>
  <si>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</si>
  <si>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</si>
  <si>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</si>
  <si>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</si>
  <si>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</si>
  <si>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</si>
  <si>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</si>
  <si>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</si>
  <si>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</si>
  <si>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</si>
  <si>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</si>
  <si>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</si>
  <si>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</si>
  <si>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</si>
  <si>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</si>
  <si>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</si>
  <si>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</si>
  <si>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</si>
  <si>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</si>
  <si>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</si>
  <si>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</si>
  <si>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</si>
  <si>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</si>
  <si>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</si>
  <si>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</si>
  <si>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</si>
  <si>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</si>
  <si>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</si>
  <si>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</si>
  <si>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</si>
  <si>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</si>
  <si>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</si>
  <si>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</si>
  <si>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</si>
  <si>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</si>
  <si>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</si>
  <si>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</si>
  <si>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</si>
  <si>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</si>
  <si>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</si>
  <si>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</si>
  <si>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</si>
  <si>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</si>
  <si>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</si>
  <si>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</si>
  <si>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</si>
  <si>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</si>
  <si>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</si>
  <si>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</si>
  <si>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</si>
  <si>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</si>
  <si>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</si>
  <si>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</si>
  <si>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</si>
  <si>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</si>
  <si>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</si>
  <si>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</si>
  <si>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</si>
  <si>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</si>
  <si>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</si>
  <si>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</si>
  <si>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</si>
  <si>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</si>
  <si>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</si>
  <si>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</si>
  <si>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</si>
  <si>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</si>
  <si>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</si>
  <si>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</si>
  <si>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</si>
  <si>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</si>
  <si>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</si>
  <si>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</si>
  <si>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</si>
  <si>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</si>
  <si>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</si>
  <si>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</si>
  <si>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</si>
  <si>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</si>
  <si>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</si>
  <si>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</si>
  <si>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</si>
  <si>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</si>
  <si>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</si>
  <si>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</si>
  <si>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</si>
  <si>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</si>
  <si>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</si>
  <si>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</si>
  <si>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</si>
  <si>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</si>
  <si>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</si>
  <si>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</si>
  <si>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</si>
  <si>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</si>
  <si>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</si>
  <si>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</si>
  <si>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</si>
  <si>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</si>
  <si>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</si>
  <si>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</si>
  <si>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</si>
  <si>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</si>
  <si>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</si>
  <si>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</si>
  <si>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</si>
  <si>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</si>
  <si>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</si>
  <si>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</si>
  <si>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</si>
  <si>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</si>
  <si>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</si>
  <si>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</si>
  <si>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</si>
  <si>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</si>
  <si>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</si>
  <si>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</si>
  <si>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</si>
  <si>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</si>
  <si>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</si>
  <si>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</si>
  <si>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</si>
  <si>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</si>
  <si>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</si>
  <si>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</si>
  <si>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</si>
  <si>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</si>
  <si>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</si>
  <si>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</si>
  <si>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</si>
  <si>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</si>
  <si>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</si>
  <si>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</si>
  <si>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</si>
  <si>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</si>
  <si>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</si>
  <si>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</si>
  <si>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</si>
  <si>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</si>
  <si>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</si>
  <si>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</si>
  <si>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</si>
  <si>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</si>
  <si>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</si>
  <si>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</si>
  <si>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</si>
  <si>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</si>
  <si>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</si>
  <si>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</si>
  <si>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</si>
  <si>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</si>
  <si>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</si>
  <si>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</si>
  <si>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</si>
  <si>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</si>
  <si>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</si>
  <si>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</si>
  <si>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</si>
  <si>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</si>
  <si>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</si>
  <si>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</si>
  <si>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</si>
  <si>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</si>
  <si>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</si>
  <si>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</si>
  <si>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</si>
  <si>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</si>
  <si>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</si>
  <si>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</si>
  <si>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</si>
  <si>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</si>
  <si>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</si>
  <si>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</si>
  <si>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</si>
  <si>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</si>
  <si>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</si>
  <si>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</si>
  <si>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</si>
  <si>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</si>
  <si>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</si>
  <si>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</si>
  <si>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</si>
  <si>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</si>
  <si>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</si>
  <si>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</si>
  <si>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</si>
  <si>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</si>
  <si>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</si>
  <si>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</si>
  <si>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</si>
  <si>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</si>
  <si>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</si>
  <si>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</si>
  <si>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</si>
  <si>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</si>
  <si>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</si>
  <si>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</si>
  <si>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</si>
  <si>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</si>
  <si>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</si>
  <si>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</si>
  <si>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</si>
  <si>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</si>
  <si>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</si>
  <si>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</si>
  <si>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</si>
  <si>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XiaHouBa.mdx</t>
    <phoneticPr fontId="6" type="noConversion"/>
  </si>
  <si>
    <t>GY bf.mdx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</si>
  <si>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</si>
  <si>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</si>
  <si>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</si>
  <si>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</si>
  <si>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0</t>
    <phoneticPr fontId="6" type="noConversion"/>
  </si>
  <si>
    <t>chibang2.mdx</t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</si>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</sst>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workbookViewId="0">
      <pane xSplit="1" ySplit="3" topLeftCell="B79" activePane="bottomRight" state="frozen"/>
      <selection pane="topRight"/>
      <selection pane="bottomLeft"/>
      <selection pane="bottomRight" activeCell="D104" sqref="D104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243</v>
      </c>
      <c r="C2" s="26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210</v>
      </c>
      <c r="G3" s="1" t="s">
        <v>358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338</v>
      </c>
      <c r="C4" s="28" t="s">
        <v>335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336</v>
      </c>
      <c r="D5" s="1"/>
      <c r="F5" s="2"/>
      <c r="G5" s="1">
        <v>1</v>
      </c>
      <c r="I5" s="1">
        <v>20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20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20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20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21">
        <v>20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21">
        <v>20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20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244</v>
      </c>
      <c r="B30" s="11" t="s">
        <v>132</v>
      </c>
      <c r="C30" s="28" t="s">
        <v>45</v>
      </c>
      <c r="D30" s="22" t="s">
        <v>233</v>
      </c>
      <c r="F30" s="2"/>
      <c r="G30" s="22">
        <v>2.2000000000000002</v>
      </c>
      <c r="I30" s="3">
        <v>60</v>
      </c>
    </row>
    <row r="31" spans="1:9" ht="15" x14ac:dyDescent="0.15">
      <c r="A31" s="27" t="s">
        <v>245</v>
      </c>
      <c r="B31" s="11" t="s">
        <v>133</v>
      </c>
      <c r="C31" s="28" t="s">
        <v>45</v>
      </c>
      <c r="D31" s="3" t="s">
        <v>234</v>
      </c>
      <c r="F31" s="2"/>
      <c r="G31" s="22">
        <v>2.2000000000000002</v>
      </c>
      <c r="I31" s="3">
        <v>60</v>
      </c>
    </row>
    <row r="32" spans="1:9" ht="15" x14ac:dyDescent="0.15">
      <c r="A32" s="31" t="s">
        <v>246</v>
      </c>
      <c r="B32" s="11" t="s">
        <v>134</v>
      </c>
      <c r="C32" s="28" t="s">
        <v>45</v>
      </c>
      <c r="D32" s="22" t="s">
        <v>236</v>
      </c>
      <c r="F32" s="2"/>
      <c r="G32" s="22">
        <v>4.8</v>
      </c>
      <c r="I32" s="3">
        <v>60</v>
      </c>
    </row>
    <row r="33" spans="1:9" ht="15" x14ac:dyDescent="0.15">
      <c r="A33" s="31" t="s">
        <v>356</v>
      </c>
      <c r="B33" s="11" t="s">
        <v>135</v>
      </c>
      <c r="C33" s="28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27" t="s">
        <v>355</v>
      </c>
      <c r="B34" s="11" t="s">
        <v>136</v>
      </c>
      <c r="C34" s="27" t="s">
        <v>361</v>
      </c>
      <c r="D34" s="3" t="s">
        <v>242</v>
      </c>
      <c r="F34" s="2"/>
      <c r="G34" s="3">
        <v>1.5</v>
      </c>
      <c r="I34" s="3">
        <v>60</v>
      </c>
    </row>
    <row r="35" spans="1:9" ht="15" x14ac:dyDescent="0.15">
      <c r="A35" s="27" t="s">
        <v>249</v>
      </c>
      <c r="B35" s="11" t="s">
        <v>137</v>
      </c>
      <c r="C35" s="27" t="s">
        <v>361</v>
      </c>
      <c r="D35" s="3"/>
      <c r="F35" s="2"/>
      <c r="G35" s="3">
        <v>0.8</v>
      </c>
      <c r="I35" s="3">
        <v>20</v>
      </c>
    </row>
    <row r="36" spans="1:9" ht="15" x14ac:dyDescent="0.15">
      <c r="A36" s="27" t="s">
        <v>250</v>
      </c>
      <c r="B36" s="11" t="s">
        <v>138</v>
      </c>
      <c r="C36" s="27" t="s">
        <v>45</v>
      </c>
      <c r="D36" s="3" t="s">
        <v>241</v>
      </c>
      <c r="F36" s="2"/>
      <c r="G36" s="3">
        <v>0.7</v>
      </c>
      <c r="I36" s="3">
        <v>20</v>
      </c>
    </row>
    <row r="37" spans="1:9" ht="15" x14ac:dyDescent="0.15">
      <c r="A37" s="27" t="s">
        <v>251</v>
      </c>
      <c r="B37" s="11" t="s">
        <v>139</v>
      </c>
      <c r="C37" s="27" t="s">
        <v>45</v>
      </c>
      <c r="D37" s="3" t="s">
        <v>241</v>
      </c>
      <c r="F37" s="2"/>
      <c r="G37" s="3">
        <v>0.8</v>
      </c>
      <c r="I37" s="3">
        <v>20</v>
      </c>
    </row>
    <row r="38" spans="1:9" ht="15" x14ac:dyDescent="0.15">
      <c r="A38" s="27" t="s">
        <v>252</v>
      </c>
      <c r="B38" s="11" t="s">
        <v>140</v>
      </c>
      <c r="C38" s="27" t="s">
        <v>45</v>
      </c>
      <c r="D38" s="3" t="s">
        <v>241</v>
      </c>
      <c r="F38" s="2"/>
      <c r="G38" s="3">
        <v>1</v>
      </c>
      <c r="I38" s="3">
        <v>20</v>
      </c>
    </row>
    <row r="39" spans="1:9" ht="15" x14ac:dyDescent="0.15">
      <c r="A39" s="27" t="s">
        <v>253</v>
      </c>
      <c r="B39" s="11" t="s">
        <v>141</v>
      </c>
      <c r="C39" s="27" t="s">
        <v>50</v>
      </c>
      <c r="D39" s="3"/>
      <c r="F39" s="2"/>
      <c r="G39" s="3">
        <v>0.7</v>
      </c>
      <c r="I39" s="3">
        <v>20</v>
      </c>
    </row>
    <row r="40" spans="1:9" ht="15" x14ac:dyDescent="0.15">
      <c r="A40" s="27" t="s">
        <v>254</v>
      </c>
      <c r="B40" s="11" t="s">
        <v>142</v>
      </c>
      <c r="C40" s="27" t="s">
        <v>50</v>
      </c>
      <c r="D40" s="3"/>
      <c r="F40" s="2"/>
      <c r="G40" s="3">
        <v>0.8</v>
      </c>
      <c r="I40" s="3">
        <v>20</v>
      </c>
    </row>
    <row r="41" spans="1:9" ht="15" x14ac:dyDescent="0.15">
      <c r="A41" s="27" t="s">
        <v>255</v>
      </c>
      <c r="B41" s="11" t="s">
        <v>143</v>
      </c>
      <c r="C41" s="27" t="s">
        <v>50</v>
      </c>
      <c r="D41" s="3"/>
      <c r="F41" s="2"/>
      <c r="G41" s="3">
        <v>0.85</v>
      </c>
      <c r="I41" s="3">
        <v>20</v>
      </c>
    </row>
    <row r="42" spans="1:9" ht="15" x14ac:dyDescent="0.15">
      <c r="A42" s="27" t="s">
        <v>256</v>
      </c>
      <c r="B42" s="11" t="s">
        <v>144</v>
      </c>
      <c r="C42" s="27" t="s">
        <v>50</v>
      </c>
      <c r="D42" s="3"/>
      <c r="F42" s="2"/>
      <c r="G42" s="3">
        <v>0.9</v>
      </c>
      <c r="I42" s="3">
        <v>20</v>
      </c>
    </row>
    <row r="43" spans="1:9" ht="15" x14ac:dyDescent="0.15">
      <c r="A43" s="27" t="s">
        <v>423</v>
      </c>
      <c r="B43" s="11" t="s">
        <v>357</v>
      </c>
      <c r="C43" s="27" t="s">
        <v>337</v>
      </c>
      <c r="D43" s="3"/>
      <c r="F43" s="2"/>
      <c r="G43" s="3">
        <v>0.7</v>
      </c>
      <c r="I43" s="3">
        <v>20</v>
      </c>
    </row>
    <row r="44" spans="1:9" ht="15" x14ac:dyDescent="0.15">
      <c r="A44" s="27" t="s">
        <v>424</v>
      </c>
      <c r="B44" s="11" t="s">
        <v>146</v>
      </c>
      <c r="C44" s="27" t="s">
        <v>337</v>
      </c>
      <c r="D44" s="3"/>
      <c r="F44" s="2"/>
      <c r="G44" s="3">
        <v>0.8</v>
      </c>
      <c r="I44" s="3">
        <v>20</v>
      </c>
    </row>
    <row r="45" spans="1:9" ht="15" x14ac:dyDescent="0.15">
      <c r="A45" s="27" t="s">
        <v>425</v>
      </c>
      <c r="B45" s="11" t="s">
        <v>147</v>
      </c>
      <c r="C45" s="27" t="s">
        <v>337</v>
      </c>
      <c r="D45" s="23"/>
      <c r="F45" s="2"/>
      <c r="G45" s="3">
        <v>0.85</v>
      </c>
      <c r="I45" s="3">
        <v>20</v>
      </c>
    </row>
    <row r="46" spans="1:9" ht="15" x14ac:dyDescent="0.15">
      <c r="A46" s="27" t="s">
        <v>257</v>
      </c>
      <c r="B46" s="11" t="s">
        <v>148</v>
      </c>
      <c r="C46" s="27" t="s">
        <v>45</v>
      </c>
      <c r="D46" s="3" t="s">
        <v>297</v>
      </c>
      <c r="F46" s="2"/>
      <c r="G46" s="3">
        <v>1.5</v>
      </c>
      <c r="I46" s="3">
        <v>60</v>
      </c>
    </row>
    <row r="47" spans="1:9" ht="15" x14ac:dyDescent="0.15">
      <c r="A47" s="27" t="s">
        <v>258</v>
      </c>
      <c r="B47" s="11" t="s">
        <v>149</v>
      </c>
      <c r="C47" s="27" t="s">
        <v>45</v>
      </c>
      <c r="D47" s="3" t="s">
        <v>298</v>
      </c>
      <c r="F47" s="2"/>
      <c r="G47" s="3">
        <v>2</v>
      </c>
      <c r="I47" s="3">
        <v>60</v>
      </c>
    </row>
    <row r="48" spans="1:9" ht="15" x14ac:dyDescent="0.15">
      <c r="A48" s="27" t="s">
        <v>259</v>
      </c>
      <c r="B48" s="11" t="s">
        <v>150</v>
      </c>
      <c r="C48" s="27" t="s">
        <v>45</v>
      </c>
      <c r="D48" s="3" t="s">
        <v>299</v>
      </c>
      <c r="F48" s="2"/>
      <c r="G48" s="3">
        <v>0.6</v>
      </c>
      <c r="I48" s="3">
        <v>60</v>
      </c>
    </row>
    <row r="49" spans="1:9" ht="15" x14ac:dyDescent="0.15">
      <c r="A49" s="27" t="s">
        <v>260</v>
      </c>
      <c r="B49" s="11" t="s">
        <v>151</v>
      </c>
      <c r="C49" s="27" t="s">
        <v>45</v>
      </c>
      <c r="D49" s="3" t="s">
        <v>300</v>
      </c>
      <c r="F49" s="2"/>
      <c r="G49" s="3">
        <v>2.2999999999999998</v>
      </c>
      <c r="I49" s="3">
        <v>60</v>
      </c>
    </row>
    <row r="50" spans="1:9" ht="15" x14ac:dyDescent="0.15">
      <c r="A50" s="27" t="s">
        <v>261</v>
      </c>
      <c r="B50" s="11" t="s">
        <v>152</v>
      </c>
      <c r="C50" s="27" t="s">
        <v>45</v>
      </c>
      <c r="D50" s="3" t="s">
        <v>301</v>
      </c>
      <c r="F50" s="2"/>
      <c r="G50" s="3">
        <v>0.6</v>
      </c>
      <c r="I50" s="3">
        <v>60</v>
      </c>
    </row>
    <row r="51" spans="1:9" ht="15" x14ac:dyDescent="0.15">
      <c r="A51" s="27" t="s">
        <v>262</v>
      </c>
      <c r="B51" s="11" t="s">
        <v>153</v>
      </c>
      <c r="C51" s="27" t="s">
        <v>45</v>
      </c>
      <c r="D51" s="3" t="s">
        <v>302</v>
      </c>
      <c r="F51" s="2"/>
      <c r="G51" s="3">
        <v>2.5</v>
      </c>
      <c r="I51" s="3">
        <v>60</v>
      </c>
    </row>
    <row r="52" spans="1:9" ht="15" x14ac:dyDescent="0.15">
      <c r="A52" s="27" t="s">
        <v>263</v>
      </c>
      <c r="B52" s="11" t="s">
        <v>154</v>
      </c>
      <c r="C52" s="27" t="s">
        <v>45</v>
      </c>
      <c r="D52" s="3" t="s">
        <v>303</v>
      </c>
      <c r="F52" s="2"/>
      <c r="G52" s="3">
        <v>2</v>
      </c>
      <c r="I52" s="3">
        <v>60</v>
      </c>
    </row>
    <row r="53" spans="1:9" ht="15" x14ac:dyDescent="0.15">
      <c r="A53" s="27" t="s">
        <v>264</v>
      </c>
      <c r="B53" s="11" t="s">
        <v>155</v>
      </c>
      <c r="C53" s="27" t="s">
        <v>45</v>
      </c>
      <c r="D53" s="3" t="s">
        <v>304</v>
      </c>
      <c r="F53" s="2"/>
      <c r="G53" s="3">
        <v>1.8</v>
      </c>
      <c r="I53" s="3">
        <v>60</v>
      </c>
    </row>
    <row r="54" spans="1:9" ht="15" x14ac:dyDescent="0.15">
      <c r="A54" s="27" t="s">
        <v>265</v>
      </c>
      <c r="B54" s="11" t="s">
        <v>156</v>
      </c>
      <c r="C54" s="27" t="s">
        <v>45</v>
      </c>
      <c r="D54" s="3" t="s">
        <v>305</v>
      </c>
      <c r="F54" s="2"/>
      <c r="G54" s="3">
        <v>1.4</v>
      </c>
      <c r="I54" s="3">
        <v>60</v>
      </c>
    </row>
    <row r="55" spans="1:9" ht="15" x14ac:dyDescent="0.15">
      <c r="A55" s="27" t="s">
        <v>266</v>
      </c>
      <c r="B55" s="11" t="s">
        <v>157</v>
      </c>
      <c r="C55" s="27" t="s">
        <v>45</v>
      </c>
      <c r="D55" s="3" t="s">
        <v>306</v>
      </c>
      <c r="F55" s="2"/>
      <c r="G55" s="3">
        <v>1.5</v>
      </c>
      <c r="I55" s="3">
        <v>60</v>
      </c>
    </row>
    <row r="56" spans="1:9" ht="15" x14ac:dyDescent="0.15">
      <c r="A56" s="27" t="s">
        <v>267</v>
      </c>
      <c r="B56" s="11" t="s">
        <v>158</v>
      </c>
      <c r="C56" s="27" t="s">
        <v>45</v>
      </c>
      <c r="D56" s="3" t="s">
        <v>307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268</v>
      </c>
      <c r="B57" s="11" t="s">
        <v>159</v>
      </c>
      <c r="C57" s="27" t="s">
        <v>45</v>
      </c>
      <c r="D57" s="3" t="s">
        <v>308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269</v>
      </c>
      <c r="B58" s="11" t="s">
        <v>160</v>
      </c>
      <c r="C58" s="27" t="s">
        <v>362</v>
      </c>
      <c r="D58" s="3" t="s">
        <v>309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270</v>
      </c>
      <c r="B59" s="11" t="s">
        <v>161</v>
      </c>
      <c r="C59" s="27" t="s">
        <v>45</v>
      </c>
      <c r="D59" s="3" t="s">
        <v>310</v>
      </c>
      <c r="F59" s="2"/>
      <c r="G59" s="3">
        <v>1.5</v>
      </c>
      <c r="I59" s="3">
        <v>60</v>
      </c>
    </row>
    <row r="60" spans="1:9" ht="15" x14ac:dyDescent="0.15">
      <c r="A60" s="27" t="s">
        <v>271</v>
      </c>
      <c r="B60" s="11" t="s">
        <v>162</v>
      </c>
      <c r="C60" s="27" t="s">
        <v>45</v>
      </c>
      <c r="D60" s="3" t="s">
        <v>363</v>
      </c>
      <c r="F60" s="2"/>
      <c r="G60" s="3">
        <v>1.6</v>
      </c>
      <c r="I60" s="3">
        <v>60</v>
      </c>
    </row>
    <row r="61" spans="1:9" ht="15" x14ac:dyDescent="0.15">
      <c r="A61" s="27" t="s">
        <v>272</v>
      </c>
      <c r="B61" s="11" t="s">
        <v>163</v>
      </c>
      <c r="C61" s="27" t="s">
        <v>45</v>
      </c>
      <c r="D61" s="3" t="s">
        <v>364</v>
      </c>
      <c r="F61" s="2"/>
      <c r="G61" s="3">
        <v>2.2000000000000002</v>
      </c>
      <c r="I61" s="3">
        <v>60</v>
      </c>
    </row>
    <row r="62" spans="1:9" ht="15" x14ac:dyDescent="0.15">
      <c r="A62" s="27" t="s">
        <v>273</v>
      </c>
      <c r="B62" s="11" t="s">
        <v>164</v>
      </c>
      <c r="C62" s="27" t="s">
        <v>362</v>
      </c>
      <c r="D62" s="3" t="s">
        <v>311</v>
      </c>
      <c r="F62" s="2"/>
      <c r="G62" s="3">
        <v>1.1000000000000001</v>
      </c>
      <c r="I62" s="3">
        <v>60</v>
      </c>
    </row>
    <row r="63" spans="1:9" ht="15" x14ac:dyDescent="0.15">
      <c r="A63" s="27" t="s">
        <v>274</v>
      </c>
      <c r="B63" s="11" t="s">
        <v>165</v>
      </c>
      <c r="C63" s="27" t="s">
        <v>45</v>
      </c>
      <c r="D63" s="3" t="s">
        <v>312</v>
      </c>
      <c r="F63" s="2"/>
      <c r="G63" s="3">
        <v>0.5</v>
      </c>
      <c r="I63" s="3">
        <v>60</v>
      </c>
    </row>
    <row r="64" spans="1:9" ht="15" x14ac:dyDescent="0.15">
      <c r="A64" s="27" t="s">
        <v>275</v>
      </c>
      <c r="B64" s="11" t="s">
        <v>166</v>
      </c>
      <c r="C64" s="27" t="s">
        <v>45</v>
      </c>
      <c r="D64" s="3" t="s">
        <v>313</v>
      </c>
      <c r="F64" s="2"/>
      <c r="G64" s="3">
        <v>0.5</v>
      </c>
      <c r="I64" s="3">
        <v>60</v>
      </c>
    </row>
    <row r="65" spans="1:9" ht="15" x14ac:dyDescent="0.15">
      <c r="A65" s="27" t="s">
        <v>276</v>
      </c>
      <c r="B65" s="11" t="s">
        <v>167</v>
      </c>
      <c r="C65" s="27" t="s">
        <v>45</v>
      </c>
      <c r="D65" s="3" t="s">
        <v>314</v>
      </c>
      <c r="F65" s="2"/>
      <c r="G65" s="3">
        <v>2</v>
      </c>
      <c r="I65" s="3">
        <v>60</v>
      </c>
    </row>
    <row r="66" spans="1:9" ht="15" x14ac:dyDescent="0.15">
      <c r="A66" s="27" t="s">
        <v>277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277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277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277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277</v>
      </c>
      <c r="B70" s="11" t="s">
        <v>172</v>
      </c>
      <c r="C70" s="27" t="s">
        <v>45</v>
      </c>
      <c r="D70" s="3"/>
      <c r="F70" s="2"/>
      <c r="G70" s="3"/>
      <c r="I70" s="3"/>
    </row>
    <row r="71" spans="1:9" ht="15" x14ac:dyDescent="0.15">
      <c r="A71" s="27" t="s">
        <v>278</v>
      </c>
      <c r="B71" s="11" t="s">
        <v>173</v>
      </c>
      <c r="C71" s="27" t="s">
        <v>45</v>
      </c>
      <c r="D71" s="3" t="s">
        <v>315</v>
      </c>
      <c r="F71" s="2"/>
      <c r="G71" s="3">
        <v>1.3</v>
      </c>
      <c r="I71" s="3">
        <v>60</v>
      </c>
    </row>
    <row r="72" spans="1:9" ht="15" x14ac:dyDescent="0.15">
      <c r="A72" s="27" t="s">
        <v>279</v>
      </c>
      <c r="B72" s="11" t="s">
        <v>174</v>
      </c>
      <c r="C72" s="27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27" t="s">
        <v>280</v>
      </c>
      <c r="B73" s="11" t="s">
        <v>175</v>
      </c>
      <c r="C73" s="27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27" t="s">
        <v>281</v>
      </c>
      <c r="B74" s="11" t="s">
        <v>176</v>
      </c>
      <c r="C74" s="27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27" t="s">
        <v>282</v>
      </c>
      <c r="B75" s="11" t="s">
        <v>177</v>
      </c>
      <c r="C75" s="27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27" t="s">
        <v>283</v>
      </c>
      <c r="B76" s="11" t="s">
        <v>178</v>
      </c>
      <c r="C76" s="27" t="s">
        <v>45</v>
      </c>
      <c r="D76" s="3" t="s">
        <v>316</v>
      </c>
      <c r="F76" s="2"/>
      <c r="G76" s="3">
        <v>0.4</v>
      </c>
      <c r="I76" s="3">
        <v>60</v>
      </c>
    </row>
    <row r="77" spans="1:9" ht="15" x14ac:dyDescent="0.15">
      <c r="A77" s="27" t="s">
        <v>284</v>
      </c>
      <c r="B77" s="11" t="s">
        <v>179</v>
      </c>
      <c r="C77" s="27" t="s">
        <v>45</v>
      </c>
      <c r="D77" s="3" t="s">
        <v>317</v>
      </c>
      <c r="F77" s="2"/>
      <c r="G77" s="3">
        <v>2</v>
      </c>
      <c r="I77" s="3">
        <v>60</v>
      </c>
    </row>
    <row r="78" spans="1:9" ht="15" x14ac:dyDescent="0.15">
      <c r="A78" s="27" t="s">
        <v>285</v>
      </c>
      <c r="B78" s="11" t="s">
        <v>180</v>
      </c>
      <c r="C78" s="27" t="s">
        <v>45</v>
      </c>
      <c r="D78" s="3" t="s">
        <v>318</v>
      </c>
      <c r="F78" s="2"/>
      <c r="G78" s="3">
        <v>2.5</v>
      </c>
      <c r="I78" s="3">
        <v>60</v>
      </c>
    </row>
    <row r="79" spans="1:9" ht="15" x14ac:dyDescent="0.15">
      <c r="A79" s="27" t="s">
        <v>286</v>
      </c>
      <c r="B79" s="11" t="s">
        <v>181</v>
      </c>
      <c r="C79" s="27" t="s">
        <v>45</v>
      </c>
      <c r="D79" s="3" t="s">
        <v>368</v>
      </c>
      <c r="F79" s="2"/>
      <c r="G79" s="3">
        <v>2.2000000000000002</v>
      </c>
      <c r="I79" s="3">
        <v>60</v>
      </c>
    </row>
    <row r="80" spans="1:9" ht="15" x14ac:dyDescent="0.15">
      <c r="A80" s="27" t="s">
        <v>287</v>
      </c>
      <c r="B80" s="11" t="s">
        <v>182</v>
      </c>
      <c r="C80" s="27" t="s">
        <v>45</v>
      </c>
      <c r="D80" s="3" t="s">
        <v>319</v>
      </c>
      <c r="F80" s="2"/>
      <c r="G80" s="3">
        <v>1</v>
      </c>
      <c r="I80" s="3">
        <v>60</v>
      </c>
    </row>
    <row r="81" spans="1:9" ht="15" x14ac:dyDescent="0.15">
      <c r="A81" s="27" t="s">
        <v>288</v>
      </c>
      <c r="B81" s="11" t="s">
        <v>183</v>
      </c>
      <c r="C81" s="27" t="s">
        <v>45</v>
      </c>
      <c r="D81" s="3" t="s">
        <v>320</v>
      </c>
      <c r="F81" s="2"/>
      <c r="G81" s="3">
        <v>1.7</v>
      </c>
      <c r="I81" s="3">
        <v>60</v>
      </c>
    </row>
    <row r="82" spans="1:9" ht="15" x14ac:dyDescent="0.15">
      <c r="A82" s="27" t="s">
        <v>289</v>
      </c>
      <c r="B82" s="11" t="s">
        <v>184</v>
      </c>
      <c r="C82" s="27" t="s">
        <v>45</v>
      </c>
      <c r="D82" s="23" t="s">
        <v>322</v>
      </c>
      <c r="F82" s="2"/>
      <c r="G82" s="3">
        <v>2.1</v>
      </c>
      <c r="I82" s="3">
        <v>60</v>
      </c>
    </row>
    <row r="83" spans="1:9" ht="15" x14ac:dyDescent="0.15">
      <c r="A83" s="27" t="s">
        <v>290</v>
      </c>
      <c r="B83" s="11" t="s">
        <v>185</v>
      </c>
      <c r="C83" s="27" t="s">
        <v>45</v>
      </c>
      <c r="D83" s="3" t="s">
        <v>321</v>
      </c>
      <c r="F83" s="2"/>
      <c r="G83" s="3">
        <v>2.1</v>
      </c>
      <c r="I83" s="3">
        <v>60</v>
      </c>
    </row>
    <row r="84" spans="1:9" ht="15" x14ac:dyDescent="0.15">
      <c r="A84" s="27" t="s">
        <v>291</v>
      </c>
      <c r="B84" s="11" t="s">
        <v>186</v>
      </c>
      <c r="C84" s="27" t="s">
        <v>367</v>
      </c>
      <c r="D84" s="3" t="s">
        <v>324</v>
      </c>
      <c r="G84" s="3">
        <v>1.6</v>
      </c>
      <c r="I84" s="3">
        <v>60</v>
      </c>
    </row>
    <row r="85" spans="1:9" ht="15" x14ac:dyDescent="0.15">
      <c r="A85" s="27" t="s">
        <v>292</v>
      </c>
      <c r="B85" s="11" t="s">
        <v>215</v>
      </c>
      <c r="C85" s="27" t="s">
        <v>45</v>
      </c>
      <c r="D85" s="3" t="s">
        <v>323</v>
      </c>
      <c r="F85" s="2"/>
      <c r="G85" s="3">
        <v>2</v>
      </c>
      <c r="I85" s="3">
        <v>60</v>
      </c>
    </row>
    <row r="86" spans="1:9" ht="15" x14ac:dyDescent="0.15">
      <c r="A86" s="27" t="s">
        <v>293</v>
      </c>
      <c r="B86" s="11" t="s">
        <v>216</v>
      </c>
      <c r="C86" s="27" t="s">
        <v>45</v>
      </c>
      <c r="D86" s="3" t="s">
        <v>326</v>
      </c>
      <c r="G86" s="3">
        <v>1.5</v>
      </c>
      <c r="I86" s="3">
        <v>60</v>
      </c>
    </row>
    <row r="87" spans="1:9" ht="15" x14ac:dyDescent="0.15">
      <c r="A87" s="27" t="s">
        <v>294</v>
      </c>
      <c r="B87" s="11" t="s">
        <v>217</v>
      </c>
      <c r="C87" s="27" t="s">
        <v>45</v>
      </c>
      <c r="D87" s="3" t="s">
        <v>325</v>
      </c>
      <c r="G87" s="3">
        <v>1.5</v>
      </c>
      <c r="I87" s="3">
        <v>60</v>
      </c>
    </row>
    <row r="88" spans="1:9" ht="15" x14ac:dyDescent="0.15">
      <c r="A88" s="27" t="s">
        <v>295</v>
      </c>
      <c r="B88" s="11" t="s">
        <v>220</v>
      </c>
      <c r="C88" s="27" t="s">
        <v>45</v>
      </c>
      <c r="D88" s="3" t="s">
        <v>351</v>
      </c>
      <c r="G88" s="3">
        <v>1.1000000000000001</v>
      </c>
      <c r="I88" s="3">
        <v>60</v>
      </c>
    </row>
    <row r="89" spans="1:9" ht="15" x14ac:dyDescent="0.15">
      <c r="A89" s="50" t="s">
        <v>369</v>
      </c>
      <c r="B89" s="11" t="s">
        <v>221</v>
      </c>
      <c r="C89" s="27" t="s">
        <v>412</v>
      </c>
      <c r="D89" s="3"/>
      <c r="G89" s="3">
        <v>1.1000000000000001</v>
      </c>
      <c r="I89" s="3">
        <v>60</v>
      </c>
    </row>
    <row r="90" spans="1:9" ht="15" x14ac:dyDescent="0.15">
      <c r="A90" s="50" t="s">
        <v>370</v>
      </c>
      <c r="B90" s="11" t="s">
        <v>222</v>
      </c>
      <c r="C90" s="27" t="s">
        <v>45</v>
      </c>
      <c r="D90" s="3" t="s">
        <v>327</v>
      </c>
      <c r="G90" s="3">
        <v>0.9</v>
      </c>
      <c r="I90" s="3">
        <v>60</v>
      </c>
    </row>
    <row r="91" spans="1:9" ht="15" x14ac:dyDescent="0.15">
      <c r="A91" s="50" t="s">
        <v>371</v>
      </c>
      <c r="B91" s="11" t="s">
        <v>223</v>
      </c>
      <c r="C91" s="27" t="s">
        <v>45</v>
      </c>
      <c r="D91" s="3" t="s">
        <v>328</v>
      </c>
      <c r="G91" s="3">
        <v>0.9</v>
      </c>
      <c r="I91" s="3">
        <v>60</v>
      </c>
    </row>
    <row r="92" spans="1:9" ht="15" x14ac:dyDescent="0.15">
      <c r="A92" s="50" t="s">
        <v>372</v>
      </c>
      <c r="B92" s="11" t="s">
        <v>224</v>
      </c>
      <c r="C92" s="27" t="s">
        <v>45</v>
      </c>
      <c r="D92" s="3" t="s">
        <v>329</v>
      </c>
      <c r="G92" s="3">
        <v>1</v>
      </c>
      <c r="I92" s="3">
        <v>60</v>
      </c>
    </row>
    <row r="93" spans="1:9" ht="15" x14ac:dyDescent="0.15">
      <c r="A93" s="50" t="s">
        <v>373</v>
      </c>
      <c r="B93" s="11" t="s">
        <v>225</v>
      </c>
      <c r="C93" s="27" t="s">
        <v>45</v>
      </c>
      <c r="D93" s="3" t="s">
        <v>330</v>
      </c>
      <c r="G93" s="3">
        <v>2.5</v>
      </c>
      <c r="I93" s="3">
        <v>60</v>
      </c>
    </row>
    <row r="94" spans="1:9" ht="15" x14ac:dyDescent="0.15">
      <c r="A94" s="50" t="s">
        <v>374</v>
      </c>
      <c r="B94" s="11" t="s">
        <v>226</v>
      </c>
      <c r="C94" s="27" t="s">
        <v>45</v>
      </c>
      <c r="D94" s="23" t="s">
        <v>331</v>
      </c>
      <c r="G94" s="3">
        <v>2.5</v>
      </c>
      <c r="I94" s="3">
        <v>60</v>
      </c>
    </row>
    <row r="95" spans="1:9" ht="15" x14ac:dyDescent="0.15">
      <c r="A95" s="50" t="s">
        <v>375</v>
      </c>
      <c r="B95" s="11" t="s">
        <v>227</v>
      </c>
      <c r="C95" s="27" t="s">
        <v>45</v>
      </c>
      <c r="D95" s="23" t="s">
        <v>332</v>
      </c>
      <c r="G95" s="3">
        <v>2.5</v>
      </c>
      <c r="I95" s="3">
        <v>60</v>
      </c>
    </row>
    <row r="96" spans="1:9" ht="15" x14ac:dyDescent="0.15">
      <c r="A96" s="50" t="s">
        <v>376</v>
      </c>
      <c r="B96" s="11" t="s">
        <v>228</v>
      </c>
      <c r="C96" s="27" t="s">
        <v>45</v>
      </c>
      <c r="D96" s="23" t="s">
        <v>333</v>
      </c>
      <c r="G96" s="3">
        <v>1</v>
      </c>
      <c r="I96" s="3">
        <v>60</v>
      </c>
    </row>
    <row r="97" spans="1:9" ht="15" x14ac:dyDescent="0.15">
      <c r="A97" s="27" t="s">
        <v>296</v>
      </c>
      <c r="B97" s="11" t="s">
        <v>229</v>
      </c>
      <c r="C97" s="27" t="s">
        <v>45</v>
      </c>
      <c r="D97" s="23" t="s">
        <v>334</v>
      </c>
      <c r="G97" s="3">
        <v>1</v>
      </c>
      <c r="I97" s="3">
        <v>20</v>
      </c>
    </row>
    <row r="98" spans="1:9" ht="15" x14ac:dyDescent="0.15">
      <c r="A98" s="3" t="s">
        <v>339</v>
      </c>
      <c r="B98" s="11" t="s">
        <v>340</v>
      </c>
      <c r="C98" s="27" t="s">
        <v>45</v>
      </c>
      <c r="D98" s="23" t="s">
        <v>365</v>
      </c>
      <c r="G98" s="3">
        <v>1.5</v>
      </c>
      <c r="I98" s="3">
        <v>60</v>
      </c>
    </row>
    <row r="99" spans="1:9" ht="15" x14ac:dyDescent="0.15">
      <c r="A99" s="51" t="s">
        <v>377</v>
      </c>
      <c r="B99" s="11" t="s">
        <v>378</v>
      </c>
      <c r="C99" s="26" t="s">
        <v>379</v>
      </c>
      <c r="G99" s="3">
        <v>1.5</v>
      </c>
      <c r="I99" s="3">
        <v>20</v>
      </c>
    </row>
    <row r="100" spans="1:9" ht="15" x14ac:dyDescent="0.15">
      <c r="A100" s="52" t="s">
        <v>434</v>
      </c>
      <c r="B100" s="11" t="s">
        <v>391</v>
      </c>
      <c r="C100" s="50" t="s">
        <v>400</v>
      </c>
      <c r="G100" s="3">
        <v>1</v>
      </c>
      <c r="I100" s="3">
        <v>60</v>
      </c>
    </row>
    <row r="101" spans="1:9" ht="15" x14ac:dyDescent="0.15">
      <c r="A101" s="52" t="s">
        <v>435</v>
      </c>
      <c r="B101" s="11" t="s">
        <v>392</v>
      </c>
      <c r="C101" s="50" t="s">
        <v>401</v>
      </c>
      <c r="G101" s="3">
        <v>1</v>
      </c>
      <c r="I101" s="3">
        <v>60</v>
      </c>
    </row>
    <row r="102" spans="1:9" ht="15" x14ac:dyDescent="0.15">
      <c r="A102" s="52" t="s">
        <v>436</v>
      </c>
      <c r="B102" s="11" t="s">
        <v>393</v>
      </c>
      <c r="C102" s="50" t="s">
        <v>402</v>
      </c>
      <c r="G102" s="3">
        <v>1</v>
      </c>
      <c r="I102" s="3">
        <v>60</v>
      </c>
    </row>
    <row r="103" spans="1:9" ht="15" x14ac:dyDescent="0.15">
      <c r="A103" s="52" t="s">
        <v>437</v>
      </c>
      <c r="B103" s="11" t="s">
        <v>394</v>
      </c>
      <c r="C103" s="50" t="s">
        <v>403</v>
      </c>
      <c r="G103" s="3">
        <v>1</v>
      </c>
      <c r="I103" s="3">
        <v>60</v>
      </c>
    </row>
    <row r="104" spans="1:9" ht="15" x14ac:dyDescent="0.15">
      <c r="A104" s="52" t="s">
        <v>431</v>
      </c>
      <c r="B104" s="11" t="s">
        <v>395</v>
      </c>
      <c r="C104" s="27" t="s">
        <v>45</v>
      </c>
      <c r="D104" s="50" t="s">
        <v>404</v>
      </c>
      <c r="G104" s="3">
        <v>1</v>
      </c>
      <c r="I104" s="3">
        <v>60</v>
      </c>
    </row>
    <row r="105" spans="1:9" ht="15" x14ac:dyDescent="0.15">
      <c r="A105" s="52" t="s">
        <v>432</v>
      </c>
      <c r="B105" s="11" t="s">
        <v>396</v>
      </c>
      <c r="C105" s="27" t="s">
        <v>45</v>
      </c>
      <c r="D105" s="50" t="s">
        <v>426</v>
      </c>
      <c r="G105" s="3">
        <v>1</v>
      </c>
      <c r="I105" s="3">
        <v>60</v>
      </c>
    </row>
    <row r="106" spans="1:9" ht="15" x14ac:dyDescent="0.15">
      <c r="A106" s="52" t="s">
        <v>433</v>
      </c>
      <c r="B106" s="11" t="s">
        <v>397</v>
      </c>
      <c r="C106" s="27" t="s">
        <v>45</v>
      </c>
      <c r="D106" s="50" t="s">
        <v>405</v>
      </c>
      <c r="G106" s="3">
        <v>1</v>
      </c>
      <c r="I106" s="3">
        <v>60</v>
      </c>
    </row>
    <row r="107" spans="1:9" ht="15" x14ac:dyDescent="0.15">
      <c r="A107" s="52" t="s">
        <v>438</v>
      </c>
      <c r="B107" s="11" t="s">
        <v>398</v>
      </c>
      <c r="C107" s="27" t="s">
        <v>45</v>
      </c>
      <c r="D107" s="54" t="s">
        <v>429</v>
      </c>
      <c r="G107" s="3">
        <v>1</v>
      </c>
      <c r="I107" s="3">
        <v>60</v>
      </c>
    </row>
    <row r="108" spans="1:9" ht="15" x14ac:dyDescent="0.15">
      <c r="A108" s="52" t="s">
        <v>439</v>
      </c>
      <c r="B108" s="11" t="s">
        <v>399</v>
      </c>
      <c r="C108" s="27" t="s">
        <v>45</v>
      </c>
      <c r="D108" s="54" t="s">
        <v>428</v>
      </c>
      <c r="G108" s="3">
        <v>1</v>
      </c>
      <c r="I108" s="3">
        <v>60</v>
      </c>
    </row>
    <row r="109" spans="1:9" ht="15" x14ac:dyDescent="0.15">
      <c r="A109" s="32" t="s">
        <v>406</v>
      </c>
      <c r="B109" s="11" t="s">
        <v>407</v>
      </c>
      <c r="C109" s="27" t="s">
        <v>45</v>
      </c>
      <c r="D109" s="17" t="s">
        <v>408</v>
      </c>
      <c r="G109" s="3">
        <v>1.5</v>
      </c>
      <c r="I109" s="3">
        <v>60</v>
      </c>
    </row>
    <row r="110" spans="1:9" ht="15" x14ac:dyDescent="0.15">
      <c r="A110" s="16" t="s">
        <v>409</v>
      </c>
      <c r="B110" s="11" t="s">
        <v>410</v>
      </c>
      <c r="C110" s="27" t="s">
        <v>411</v>
      </c>
      <c r="G110" s="3">
        <v>1</v>
      </c>
      <c r="I110" s="3">
        <v>20</v>
      </c>
    </row>
    <row r="111" spans="1:9" ht="15" x14ac:dyDescent="0.15">
      <c r="A111" s="50" t="s">
        <v>413</v>
      </c>
      <c r="B111" s="11" t="s">
        <v>417</v>
      </c>
      <c r="C111" s="27" t="s">
        <v>45</v>
      </c>
      <c r="D111" s="17" t="s">
        <v>404</v>
      </c>
      <c r="G111" s="3">
        <v>1</v>
      </c>
      <c r="I111" s="3">
        <v>60</v>
      </c>
    </row>
    <row r="112" spans="1:9" ht="15" x14ac:dyDescent="0.15">
      <c r="A112" s="50" t="s">
        <v>414</v>
      </c>
      <c r="B112" s="11" t="s">
        <v>418</v>
      </c>
      <c r="C112" s="27" t="s">
        <v>45</v>
      </c>
      <c r="D112" s="2" t="s">
        <v>430</v>
      </c>
      <c r="G112" s="3">
        <v>1</v>
      </c>
      <c r="I112" s="3">
        <v>60</v>
      </c>
    </row>
    <row r="113" spans="1:9" ht="15" x14ac:dyDescent="0.15">
      <c r="A113" s="50" t="s">
        <v>415</v>
      </c>
      <c r="B113" s="11" t="s">
        <v>419</v>
      </c>
      <c r="C113" s="27" t="s">
        <v>45</v>
      </c>
      <c r="D113" s="2" t="s">
        <v>421</v>
      </c>
      <c r="G113" s="3">
        <v>1</v>
      </c>
      <c r="I113" s="3">
        <v>60</v>
      </c>
    </row>
    <row r="114" spans="1:9" ht="15" x14ac:dyDescent="0.15">
      <c r="A114" s="50" t="s">
        <v>416</v>
      </c>
      <c r="B114" s="11" t="s">
        <v>420</v>
      </c>
      <c r="C114" s="27" t="s">
        <v>45</v>
      </c>
      <c r="D114" s="2" t="s">
        <v>422</v>
      </c>
      <c r="G114" s="3">
        <v>1</v>
      </c>
      <c r="I114" s="3">
        <v>60</v>
      </c>
    </row>
  </sheetData>
  <phoneticPr fontId="6" type="noConversion"/>
  <conditionalFormatting sqref="A99">
    <cfRule type="duplicateValues" dxfId="3" priority="3"/>
  </conditionalFormatting>
  <conditionalFormatting sqref="D98">
    <cfRule type="duplicateValues" dxfId="2" priority="1"/>
  </conditionalFormatting>
  <conditionalFormatting sqref="D4:D97">
    <cfRule type="duplicateValues" dxfId="1" priority="6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4"/>
  <sheetViews>
    <sheetView tabSelected="1" zoomScaleNormal="100" workbookViewId="0">
      <pane ySplit="3" topLeftCell="A82" activePane="bottomLeft" state="frozen"/>
      <selection activeCell="D1" sqref="D1"/>
      <selection pane="bottomLeft" activeCell="E109" sqref="E109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7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12" t="s">
        <v>348</v>
      </c>
      <c r="L1" s="12" t="s">
        <v>350</v>
      </c>
      <c r="M1" s="12" t="s">
        <v>350</v>
      </c>
      <c r="N1" s="12" t="s">
        <v>350</v>
      </c>
      <c r="O1" s="12" t="s">
        <v>350</v>
      </c>
      <c r="P1" s="12" t="s">
        <v>350</v>
      </c>
      <c r="Q1" s="12" t="s">
        <v>350</v>
      </c>
      <c r="R1" s="12" t="s">
        <v>350</v>
      </c>
      <c r="S1" s="12" t="s">
        <v>350</v>
      </c>
      <c r="T1" s="12" t="s">
        <v>350</v>
      </c>
      <c r="U1" s="12" t="s">
        <v>350</v>
      </c>
      <c r="V1" s="12" t="s">
        <v>350</v>
      </c>
      <c r="W1" s="12" t="s">
        <v>350</v>
      </c>
      <c r="X1" s="12" t="s">
        <v>350</v>
      </c>
      <c r="Y1" s="12" t="s">
        <v>350</v>
      </c>
      <c r="Z1" s="6" t="s">
        <v>349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342</v>
      </c>
      <c r="H2" s="13" t="s">
        <v>343</v>
      </c>
      <c r="I2" s="12" t="s">
        <v>200</v>
      </c>
      <c r="J2" s="44" t="s">
        <v>201</v>
      </c>
      <c r="K2" s="19"/>
      <c r="L2" s="19"/>
      <c r="M2" s="19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48" t="s">
        <v>352</v>
      </c>
      <c r="D3" s="1" t="s">
        <v>218</v>
      </c>
      <c r="E3" s="20" t="s">
        <v>197</v>
      </c>
      <c r="F3" s="7" t="s">
        <v>187</v>
      </c>
      <c r="G3" s="8" t="s">
        <v>344</v>
      </c>
      <c r="H3" s="8" t="s">
        <v>345</v>
      </c>
      <c r="I3" s="7" t="s">
        <v>188</v>
      </c>
      <c r="J3" s="45" t="s">
        <v>366</v>
      </c>
      <c r="K3" s="20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38" t="s">
        <v>359</v>
      </c>
      <c r="W3" s="38" t="s">
        <v>360</v>
      </c>
      <c r="X3" s="38" t="s">
        <v>346</v>
      </c>
      <c r="Y3" s="38" t="s">
        <v>347</v>
      </c>
    </row>
    <row r="4" spans="1:26" ht="15" x14ac:dyDescent="0.15">
      <c r="A4" s="27" t="s">
        <v>36</v>
      </c>
      <c r="B4" s="11" t="s">
        <v>338</v>
      </c>
      <c r="C4" s="12" t="s">
        <v>341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34"/>
      <c r="L4" s="35">
        <v>20000</v>
      </c>
      <c r="M4" s="35">
        <v>9</v>
      </c>
      <c r="N4" s="35">
        <f t="shared" ref="N4" si="0">L4*5</f>
        <v>100000</v>
      </c>
      <c r="O4" s="35">
        <v>100</v>
      </c>
      <c r="P4" s="35">
        <v>350</v>
      </c>
      <c r="Q4" s="36">
        <v>1</v>
      </c>
      <c r="R4" s="35">
        <f t="shared" ref="R4:R34" si="1">N4*0.0001</f>
        <v>10</v>
      </c>
      <c r="S4" s="35">
        <f t="shared" ref="S4:S33" si="2">O4*0.01</f>
        <v>1</v>
      </c>
      <c r="T4" s="37">
        <v>200</v>
      </c>
      <c r="U4" s="7">
        <v>10</v>
      </c>
      <c r="V4" s="42">
        <v>10</v>
      </c>
      <c r="W4" s="42">
        <v>0</v>
      </c>
      <c r="X4" s="42">
        <v>0</v>
      </c>
      <c r="Y4" s="42">
        <v>0</v>
      </c>
    </row>
    <row r="5" spans="1:26" ht="15" x14ac:dyDescent="0.15">
      <c r="A5" s="27" t="s">
        <v>37</v>
      </c>
      <c r="B5" s="11" t="s">
        <v>107</v>
      </c>
      <c r="C5" s="12" t="s">
        <v>341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34"/>
      <c r="L5" s="35">
        <f>L4*10</f>
        <v>200000</v>
      </c>
      <c r="M5" s="35">
        <v>18</v>
      </c>
      <c r="N5" s="35">
        <f>L5*5</f>
        <v>1000000</v>
      </c>
      <c r="O5" s="35">
        <v>100</v>
      </c>
      <c r="P5" s="35">
        <v>355</v>
      </c>
      <c r="Q5" s="36">
        <v>1</v>
      </c>
      <c r="R5" s="35">
        <f t="shared" si="1"/>
        <v>100</v>
      </c>
      <c r="S5" s="35">
        <f t="shared" si="2"/>
        <v>1</v>
      </c>
      <c r="T5" s="37">
        <v>200</v>
      </c>
      <c r="U5" s="7">
        <v>20</v>
      </c>
      <c r="V5" s="42">
        <v>10</v>
      </c>
      <c r="W5" s="42">
        <v>0</v>
      </c>
      <c r="X5" s="42">
        <v>0</v>
      </c>
      <c r="Y5" s="42">
        <v>0</v>
      </c>
    </row>
    <row r="6" spans="1:26" ht="15" x14ac:dyDescent="0.15">
      <c r="A6" s="27" t="s">
        <v>40</v>
      </c>
      <c r="B6" s="11" t="s">
        <v>108</v>
      </c>
      <c r="C6" s="12" t="s">
        <v>341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34"/>
      <c r="L6" s="35">
        <f t="shared" ref="L6:L7" si="3">L5*2</f>
        <v>400000</v>
      </c>
      <c r="M6" s="35">
        <v>36</v>
      </c>
      <c r="N6" s="35">
        <f>N5*2</f>
        <v>2000000</v>
      </c>
      <c r="O6" s="35">
        <v>100</v>
      </c>
      <c r="P6" s="35">
        <v>360</v>
      </c>
      <c r="Q6" s="36">
        <v>1</v>
      </c>
      <c r="R6" s="35">
        <f t="shared" si="1"/>
        <v>200</v>
      </c>
      <c r="S6" s="35">
        <f t="shared" si="2"/>
        <v>1</v>
      </c>
      <c r="T6" s="37">
        <v>200</v>
      </c>
      <c r="U6" s="7">
        <v>30</v>
      </c>
      <c r="V6" s="42">
        <v>10</v>
      </c>
      <c r="W6" s="42">
        <v>0</v>
      </c>
      <c r="X6" s="42">
        <v>0</v>
      </c>
      <c r="Y6" s="42">
        <v>0</v>
      </c>
    </row>
    <row r="7" spans="1:26" ht="15" x14ac:dyDescent="0.15">
      <c r="A7" s="27" t="s">
        <v>42</v>
      </c>
      <c r="B7" s="11" t="s">
        <v>109</v>
      </c>
      <c r="C7" s="12" t="s">
        <v>341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34"/>
      <c r="L7" s="35">
        <f t="shared" si="3"/>
        <v>800000</v>
      </c>
      <c r="M7" s="35">
        <v>72</v>
      </c>
      <c r="N7" s="35">
        <f t="shared" ref="N7:N9" si="4">N6*2</f>
        <v>4000000</v>
      </c>
      <c r="O7" s="35">
        <v>1000</v>
      </c>
      <c r="P7" s="35">
        <v>365</v>
      </c>
      <c r="Q7" s="36">
        <v>1</v>
      </c>
      <c r="R7" s="35">
        <f t="shared" si="1"/>
        <v>400</v>
      </c>
      <c r="S7" s="35">
        <f t="shared" si="2"/>
        <v>10</v>
      </c>
      <c r="T7" s="37">
        <v>200</v>
      </c>
      <c r="U7" s="7">
        <v>40</v>
      </c>
      <c r="V7" s="42">
        <v>10</v>
      </c>
      <c r="W7" s="42">
        <v>0</v>
      </c>
      <c r="X7" s="42">
        <v>0</v>
      </c>
      <c r="Y7" s="42">
        <v>0</v>
      </c>
    </row>
    <row r="8" spans="1:26" ht="15" x14ac:dyDescent="0.15">
      <c r="A8" s="27" t="s">
        <v>38</v>
      </c>
      <c r="B8" s="11" t="s">
        <v>110</v>
      </c>
      <c r="C8" s="12" t="s">
        <v>341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34"/>
      <c r="L8" s="39">
        <v>4000000</v>
      </c>
      <c r="M8" s="39">
        <v>144</v>
      </c>
      <c r="N8" s="39">
        <v>8000000</v>
      </c>
      <c r="O8" s="35">
        <v>1000</v>
      </c>
      <c r="P8" s="35">
        <v>370</v>
      </c>
      <c r="Q8" s="36">
        <v>1</v>
      </c>
      <c r="R8" s="35">
        <f t="shared" si="1"/>
        <v>800</v>
      </c>
      <c r="S8" s="35">
        <f t="shared" si="2"/>
        <v>10</v>
      </c>
      <c r="T8" s="37">
        <v>200</v>
      </c>
      <c r="U8" s="7">
        <v>50</v>
      </c>
      <c r="V8" s="42">
        <v>10</v>
      </c>
      <c r="W8" s="42">
        <v>0</v>
      </c>
      <c r="X8" s="42">
        <v>0</v>
      </c>
      <c r="Y8" s="42">
        <v>0</v>
      </c>
    </row>
    <row r="9" spans="1:26" ht="15" x14ac:dyDescent="0.15">
      <c r="A9" s="27" t="s">
        <v>44</v>
      </c>
      <c r="B9" s="11" t="s">
        <v>111</v>
      </c>
      <c r="C9" s="12" t="s">
        <v>341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34"/>
      <c r="L9" s="35">
        <f>L8*1.8</f>
        <v>7200000</v>
      </c>
      <c r="M9" s="35">
        <v>288</v>
      </c>
      <c r="N9" s="35">
        <f t="shared" si="4"/>
        <v>16000000</v>
      </c>
      <c r="O9" s="35">
        <v>10000</v>
      </c>
      <c r="P9" s="35">
        <v>375</v>
      </c>
      <c r="Q9" s="36">
        <v>1</v>
      </c>
      <c r="R9" s="35">
        <f t="shared" si="1"/>
        <v>1600</v>
      </c>
      <c r="S9" s="35">
        <f t="shared" si="2"/>
        <v>100</v>
      </c>
      <c r="T9" s="37">
        <v>200</v>
      </c>
      <c r="U9" s="7">
        <v>60</v>
      </c>
      <c r="V9" s="42">
        <v>10</v>
      </c>
      <c r="W9" s="42">
        <v>512</v>
      </c>
      <c r="X9" s="42">
        <v>0</v>
      </c>
      <c r="Y9" s="42">
        <v>0</v>
      </c>
    </row>
    <row r="10" spans="1:26" ht="15" x14ac:dyDescent="0.15">
      <c r="A10" s="27" t="s">
        <v>46</v>
      </c>
      <c r="B10" s="11" t="s">
        <v>112</v>
      </c>
      <c r="C10" s="12" t="s">
        <v>341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34"/>
      <c r="L10" s="35">
        <f>L9*1.5</f>
        <v>10800000</v>
      </c>
      <c r="M10" s="35">
        <v>432</v>
      </c>
      <c r="N10" s="35">
        <f t="shared" ref="N10:N11" si="5">N9*1.5</f>
        <v>24000000</v>
      </c>
      <c r="O10" s="35">
        <v>10000</v>
      </c>
      <c r="P10" s="35">
        <v>380</v>
      </c>
      <c r="Q10" s="36">
        <v>1</v>
      </c>
      <c r="R10" s="35">
        <f t="shared" si="1"/>
        <v>2400</v>
      </c>
      <c r="S10" s="35">
        <f t="shared" si="2"/>
        <v>100</v>
      </c>
      <c r="T10" s="37">
        <v>200</v>
      </c>
      <c r="U10" s="7">
        <v>70</v>
      </c>
      <c r="V10" s="42">
        <v>10</v>
      </c>
      <c r="W10" s="42">
        <v>512</v>
      </c>
      <c r="X10" s="42">
        <v>0</v>
      </c>
      <c r="Y10" s="42">
        <v>0</v>
      </c>
    </row>
    <row r="11" spans="1:26" ht="15" x14ac:dyDescent="0.15">
      <c r="A11" s="27" t="s">
        <v>48</v>
      </c>
      <c r="B11" s="11" t="s">
        <v>113</v>
      </c>
      <c r="C11" s="12" t="s">
        <v>341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34"/>
      <c r="L11" s="35">
        <f>L10*1.5</f>
        <v>16200000</v>
      </c>
      <c r="M11" s="35">
        <v>648</v>
      </c>
      <c r="N11" s="35">
        <f t="shared" si="5"/>
        <v>36000000</v>
      </c>
      <c r="O11" s="35">
        <v>10000</v>
      </c>
      <c r="P11" s="35">
        <v>385</v>
      </c>
      <c r="Q11" s="36">
        <v>1</v>
      </c>
      <c r="R11" s="35">
        <f t="shared" si="1"/>
        <v>3600</v>
      </c>
      <c r="S11" s="35">
        <f t="shared" si="2"/>
        <v>100</v>
      </c>
      <c r="T11" s="37">
        <v>200</v>
      </c>
      <c r="U11" s="7">
        <v>80</v>
      </c>
      <c r="V11" s="42">
        <v>10</v>
      </c>
      <c r="W11" s="42">
        <v>512</v>
      </c>
      <c r="X11" s="42">
        <v>0</v>
      </c>
      <c r="Y11" s="42">
        <v>0</v>
      </c>
    </row>
    <row r="12" spans="1:26" ht="15" x14ac:dyDescent="0.15">
      <c r="A12" s="27" t="s">
        <v>51</v>
      </c>
      <c r="B12" s="11" t="s">
        <v>114</v>
      </c>
      <c r="C12" s="12" t="s">
        <v>341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34"/>
      <c r="L12" s="35">
        <f t="shared" ref="L12:N12" si="6">L11*1.5</f>
        <v>24300000</v>
      </c>
      <c r="M12" s="35">
        <v>972</v>
      </c>
      <c r="N12" s="35">
        <f t="shared" si="6"/>
        <v>54000000</v>
      </c>
      <c r="O12" s="35">
        <v>10000</v>
      </c>
      <c r="P12" s="35">
        <v>390</v>
      </c>
      <c r="Q12" s="36">
        <v>1</v>
      </c>
      <c r="R12" s="35">
        <f t="shared" si="1"/>
        <v>5400</v>
      </c>
      <c r="S12" s="35">
        <f t="shared" si="2"/>
        <v>100</v>
      </c>
      <c r="T12" s="37">
        <v>200</v>
      </c>
      <c r="U12" s="7">
        <v>90</v>
      </c>
      <c r="V12" s="42">
        <v>10</v>
      </c>
      <c r="W12" s="42">
        <v>512</v>
      </c>
      <c r="X12" s="42">
        <v>0</v>
      </c>
      <c r="Y12" s="42">
        <v>0</v>
      </c>
    </row>
    <row r="13" spans="1:26" ht="15" x14ac:dyDescent="0.15">
      <c r="A13" s="27" t="s">
        <v>53</v>
      </c>
      <c r="B13" s="11" t="s">
        <v>115</v>
      </c>
      <c r="C13" s="12" t="s">
        <v>341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34"/>
      <c r="L13" s="35">
        <f>L12*1.5</f>
        <v>36450000</v>
      </c>
      <c r="M13" s="35">
        <v>1263.6000000000001</v>
      </c>
      <c r="N13" s="35">
        <f t="shared" ref="N13:N15" si="7">N12*1.3</f>
        <v>70200000</v>
      </c>
      <c r="O13" s="35">
        <v>10000</v>
      </c>
      <c r="P13" s="35">
        <v>395</v>
      </c>
      <c r="Q13" s="36">
        <v>1</v>
      </c>
      <c r="R13" s="35">
        <f t="shared" si="1"/>
        <v>7020</v>
      </c>
      <c r="S13" s="35">
        <f t="shared" si="2"/>
        <v>100</v>
      </c>
      <c r="T13" s="37">
        <v>200</v>
      </c>
      <c r="U13" s="7">
        <v>100</v>
      </c>
      <c r="V13" s="42">
        <v>10</v>
      </c>
      <c r="W13" s="42">
        <v>512</v>
      </c>
      <c r="X13" s="42">
        <v>0</v>
      </c>
      <c r="Y13" s="42">
        <v>0</v>
      </c>
    </row>
    <row r="14" spans="1:26" ht="15" x14ac:dyDescent="0.15">
      <c r="A14" s="27" t="s">
        <v>55</v>
      </c>
      <c r="B14" s="11" t="s">
        <v>116</v>
      </c>
      <c r="C14" s="12" t="s">
        <v>341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34"/>
      <c r="L14" s="35">
        <f t="shared" ref="L14:L15" si="8">L13*1.3</f>
        <v>47385000</v>
      </c>
      <c r="M14" s="35">
        <v>1642.68</v>
      </c>
      <c r="N14" s="35">
        <f t="shared" si="7"/>
        <v>91260000</v>
      </c>
      <c r="O14" s="35">
        <v>10000</v>
      </c>
      <c r="P14" s="35">
        <v>400</v>
      </c>
      <c r="Q14" s="36">
        <v>1</v>
      </c>
      <c r="R14" s="35">
        <f t="shared" si="1"/>
        <v>9126</v>
      </c>
      <c r="S14" s="35">
        <f t="shared" si="2"/>
        <v>100</v>
      </c>
      <c r="T14" s="37">
        <v>200</v>
      </c>
      <c r="U14" s="7">
        <v>110</v>
      </c>
      <c r="V14" s="42">
        <v>10</v>
      </c>
      <c r="W14" s="42">
        <v>1024</v>
      </c>
      <c r="X14" s="42">
        <v>0</v>
      </c>
      <c r="Y14" s="42">
        <v>0</v>
      </c>
    </row>
    <row r="15" spans="1:26" ht="15" x14ac:dyDescent="0.15">
      <c r="A15" s="27" t="s">
        <v>57</v>
      </c>
      <c r="B15" s="11" t="s">
        <v>117</v>
      </c>
      <c r="C15" s="12" t="s">
        <v>341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34"/>
      <c r="L15" s="35">
        <f t="shared" si="8"/>
        <v>61600500</v>
      </c>
      <c r="M15" s="35">
        <v>2135.4840000000004</v>
      </c>
      <c r="N15" s="35">
        <f t="shared" si="7"/>
        <v>118638000</v>
      </c>
      <c r="O15" s="35">
        <v>10000</v>
      </c>
      <c r="P15" s="35">
        <v>405</v>
      </c>
      <c r="Q15" s="36">
        <v>1</v>
      </c>
      <c r="R15" s="35">
        <f t="shared" si="1"/>
        <v>11863.800000000001</v>
      </c>
      <c r="S15" s="35">
        <f t="shared" si="2"/>
        <v>100</v>
      </c>
      <c r="T15" s="37">
        <v>200</v>
      </c>
      <c r="U15" s="7">
        <v>120</v>
      </c>
      <c r="V15" s="42">
        <v>10</v>
      </c>
      <c r="W15" s="42">
        <v>1024</v>
      </c>
      <c r="X15" s="42">
        <v>0</v>
      </c>
      <c r="Y15" s="42">
        <v>0</v>
      </c>
    </row>
    <row r="16" spans="1:26" ht="15" x14ac:dyDescent="0.15">
      <c r="A16" s="27" t="s">
        <v>15</v>
      </c>
      <c r="B16" s="11" t="s">
        <v>118</v>
      </c>
      <c r="C16" s="12" t="s">
        <v>341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34"/>
      <c r="L16" s="35">
        <f t="shared" ref="L16:N18" si="9">L15*1.2</f>
        <v>73920600</v>
      </c>
      <c r="M16" s="35">
        <v>2562.5808000000002</v>
      </c>
      <c r="N16" s="35">
        <f t="shared" si="9"/>
        <v>142365600</v>
      </c>
      <c r="O16" s="35">
        <v>10000</v>
      </c>
      <c r="P16" s="35">
        <v>410</v>
      </c>
      <c r="Q16" s="36">
        <v>1</v>
      </c>
      <c r="R16" s="35">
        <f t="shared" si="1"/>
        <v>14236.560000000001</v>
      </c>
      <c r="S16" s="35">
        <f t="shared" si="2"/>
        <v>100</v>
      </c>
      <c r="T16" s="37">
        <v>200</v>
      </c>
      <c r="U16" s="7">
        <v>130</v>
      </c>
      <c r="V16" s="42">
        <v>10</v>
      </c>
      <c r="W16" s="42">
        <v>1024</v>
      </c>
      <c r="X16" s="42">
        <v>0</v>
      </c>
      <c r="Y16" s="42">
        <v>0</v>
      </c>
    </row>
    <row r="17" spans="1:25" ht="15" x14ac:dyDescent="0.15">
      <c r="A17" s="27" t="s">
        <v>60</v>
      </c>
      <c r="B17" s="11" t="s">
        <v>119</v>
      </c>
      <c r="C17" s="12" t="s">
        <v>341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34"/>
      <c r="L17" s="35">
        <f t="shared" si="9"/>
        <v>88704720</v>
      </c>
      <c r="M17" s="35">
        <v>3075.0969600000003</v>
      </c>
      <c r="N17" s="35">
        <f t="shared" ref="N17:N18" si="10">N16*1.2</f>
        <v>170838720</v>
      </c>
      <c r="O17" s="35">
        <v>10000</v>
      </c>
      <c r="P17" s="35">
        <v>415</v>
      </c>
      <c r="Q17" s="36">
        <v>1</v>
      </c>
      <c r="R17" s="35">
        <f t="shared" si="1"/>
        <v>17083.871999999999</v>
      </c>
      <c r="S17" s="35">
        <f t="shared" si="2"/>
        <v>100</v>
      </c>
      <c r="T17" s="37">
        <v>200</v>
      </c>
      <c r="U17" s="7">
        <v>140</v>
      </c>
      <c r="V17" s="42">
        <v>10</v>
      </c>
      <c r="W17" s="42">
        <v>1024</v>
      </c>
      <c r="X17" s="42">
        <v>0</v>
      </c>
      <c r="Y17" s="42">
        <v>0</v>
      </c>
    </row>
    <row r="18" spans="1:25" ht="15" x14ac:dyDescent="0.15">
      <c r="A18" s="27" t="s">
        <v>62</v>
      </c>
      <c r="B18" s="11" t="s">
        <v>120</v>
      </c>
      <c r="C18" s="12" t="s">
        <v>341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34"/>
      <c r="L18" s="35">
        <f t="shared" si="9"/>
        <v>106445664</v>
      </c>
      <c r="M18" s="35">
        <v>3690.116352</v>
      </c>
      <c r="N18" s="35">
        <f t="shared" si="10"/>
        <v>205006464</v>
      </c>
      <c r="O18" s="35">
        <v>10000</v>
      </c>
      <c r="P18" s="35">
        <v>420</v>
      </c>
      <c r="Q18" s="36">
        <v>1</v>
      </c>
      <c r="R18" s="35">
        <f t="shared" si="1"/>
        <v>20500.646400000001</v>
      </c>
      <c r="S18" s="35">
        <f t="shared" si="2"/>
        <v>100</v>
      </c>
      <c r="T18" s="37">
        <v>200</v>
      </c>
      <c r="U18" s="7">
        <v>150</v>
      </c>
      <c r="V18" s="42">
        <v>10</v>
      </c>
      <c r="W18" s="42">
        <v>1024</v>
      </c>
      <c r="X18" s="42">
        <v>0</v>
      </c>
      <c r="Y18" s="42">
        <v>0</v>
      </c>
    </row>
    <row r="19" spans="1:25" ht="15" x14ac:dyDescent="0.15">
      <c r="A19" s="27" t="s">
        <v>64</v>
      </c>
      <c r="B19" s="11" t="s">
        <v>121</v>
      </c>
      <c r="C19" s="12" t="s">
        <v>341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34"/>
      <c r="L19" s="35">
        <f t="shared" ref="L19" si="11">L18*1.2</f>
        <v>127734796.8</v>
      </c>
      <c r="M19" s="35">
        <v>4059.1279872000005</v>
      </c>
      <c r="N19" s="35">
        <f t="shared" ref="N19:N28" si="12">N18*1.1</f>
        <v>225507110.40000001</v>
      </c>
      <c r="O19" s="35">
        <v>10000</v>
      </c>
      <c r="P19" s="35">
        <v>425</v>
      </c>
      <c r="Q19" s="36">
        <v>1</v>
      </c>
      <c r="R19" s="35">
        <f t="shared" si="1"/>
        <v>22550.711040000002</v>
      </c>
      <c r="S19" s="35">
        <f t="shared" si="2"/>
        <v>100</v>
      </c>
      <c r="T19" s="37">
        <v>200</v>
      </c>
      <c r="U19" s="7">
        <v>160</v>
      </c>
      <c r="V19" s="42">
        <v>10</v>
      </c>
      <c r="W19" s="42">
        <v>1536</v>
      </c>
      <c r="X19" s="42">
        <v>0</v>
      </c>
      <c r="Y19" s="42">
        <v>0</v>
      </c>
    </row>
    <row r="20" spans="1:25" ht="15" x14ac:dyDescent="0.15">
      <c r="A20" s="27" t="s">
        <v>66</v>
      </c>
      <c r="B20" s="11" t="s">
        <v>122</v>
      </c>
      <c r="C20" s="12" t="s">
        <v>341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34"/>
      <c r="L20" s="35">
        <f t="shared" ref="L20" si="13">L19*1.2</f>
        <v>153281756.16</v>
      </c>
      <c r="M20" s="35">
        <v>4465.0407859200013</v>
      </c>
      <c r="N20" s="35">
        <f t="shared" si="12"/>
        <v>248057821.44000003</v>
      </c>
      <c r="O20" s="35">
        <v>10000</v>
      </c>
      <c r="P20" s="35">
        <v>430</v>
      </c>
      <c r="Q20" s="36">
        <v>1</v>
      </c>
      <c r="R20" s="35">
        <f t="shared" si="1"/>
        <v>24805.782144000004</v>
      </c>
      <c r="S20" s="35">
        <f t="shared" si="2"/>
        <v>100</v>
      </c>
      <c r="T20" s="37">
        <v>200</v>
      </c>
      <c r="U20" s="7">
        <v>170</v>
      </c>
      <c r="V20" s="42">
        <v>10</v>
      </c>
      <c r="W20" s="42">
        <v>1536</v>
      </c>
      <c r="X20" s="42">
        <v>0</v>
      </c>
      <c r="Y20" s="42">
        <v>0</v>
      </c>
    </row>
    <row r="21" spans="1:25" ht="15" x14ac:dyDescent="0.15">
      <c r="A21" s="27" t="s">
        <v>70</v>
      </c>
      <c r="B21" s="11" t="s">
        <v>123</v>
      </c>
      <c r="C21" s="12" t="s">
        <v>341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34"/>
      <c r="L21" s="35">
        <f t="shared" ref="L21" si="14">L20*1.2</f>
        <v>183938107.39199999</v>
      </c>
      <c r="M21" s="35">
        <v>4911.5448645120014</v>
      </c>
      <c r="N21" s="35">
        <f t="shared" si="12"/>
        <v>272863603.58400005</v>
      </c>
      <c r="O21" s="35">
        <v>10000</v>
      </c>
      <c r="P21" s="35">
        <v>435</v>
      </c>
      <c r="Q21" s="36">
        <v>1</v>
      </c>
      <c r="R21" s="35">
        <f t="shared" si="1"/>
        <v>27286.360358400005</v>
      </c>
      <c r="S21" s="35">
        <f t="shared" si="2"/>
        <v>100</v>
      </c>
      <c r="T21" s="37">
        <v>200</v>
      </c>
      <c r="U21" s="7">
        <v>180</v>
      </c>
      <c r="V21" s="42">
        <v>10</v>
      </c>
      <c r="W21" s="42">
        <v>1536</v>
      </c>
      <c r="X21" s="42">
        <v>0</v>
      </c>
      <c r="Y21" s="42">
        <v>0</v>
      </c>
    </row>
    <row r="22" spans="1:25" ht="15" x14ac:dyDescent="0.15">
      <c r="A22" s="29" t="s">
        <v>68</v>
      </c>
      <c r="B22" s="11" t="s">
        <v>124</v>
      </c>
      <c r="C22" s="12" t="s">
        <v>341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34"/>
      <c r="L22" s="35">
        <f t="shared" ref="L22" si="15">L21*1.2</f>
        <v>220725728.87039998</v>
      </c>
      <c r="M22" s="35">
        <v>5402.6993509632021</v>
      </c>
      <c r="N22" s="35">
        <f t="shared" si="12"/>
        <v>300149963.9424001</v>
      </c>
      <c r="O22" s="35">
        <v>10000</v>
      </c>
      <c r="P22" s="35">
        <v>440</v>
      </c>
      <c r="Q22" s="36">
        <v>1</v>
      </c>
      <c r="R22" s="35">
        <f t="shared" si="1"/>
        <v>30014.99639424001</v>
      </c>
      <c r="S22" s="35">
        <f t="shared" si="2"/>
        <v>100</v>
      </c>
      <c r="T22" s="37">
        <v>200</v>
      </c>
      <c r="U22" s="7">
        <v>190</v>
      </c>
      <c r="V22" s="42">
        <v>10</v>
      </c>
      <c r="W22" s="42">
        <v>1536</v>
      </c>
      <c r="X22" s="42">
        <v>0</v>
      </c>
      <c r="Y22" s="42">
        <v>0</v>
      </c>
    </row>
    <row r="23" spans="1:25" ht="15" x14ac:dyDescent="0.15">
      <c r="A23" s="29" t="s">
        <v>80</v>
      </c>
      <c r="B23" s="11" t="s">
        <v>125</v>
      </c>
      <c r="C23" s="12" t="s">
        <v>341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34"/>
      <c r="L23" s="35">
        <f t="shared" ref="L23" si="16">L22*1.2</f>
        <v>264870874.64447996</v>
      </c>
      <c r="M23" s="35">
        <v>5942.9692860595233</v>
      </c>
      <c r="N23" s="35">
        <f t="shared" si="12"/>
        <v>330164960.33664012</v>
      </c>
      <c r="O23" s="35">
        <v>10000</v>
      </c>
      <c r="P23" s="35">
        <v>445</v>
      </c>
      <c r="Q23" s="36">
        <v>1</v>
      </c>
      <c r="R23" s="35">
        <f t="shared" si="1"/>
        <v>33016.496033664014</v>
      </c>
      <c r="S23" s="35">
        <f t="shared" si="2"/>
        <v>100</v>
      </c>
      <c r="T23" s="37">
        <v>200</v>
      </c>
      <c r="U23" s="7">
        <v>200</v>
      </c>
      <c r="V23" s="42">
        <v>10</v>
      </c>
      <c r="W23" s="42">
        <v>1536</v>
      </c>
      <c r="X23" s="42">
        <v>0</v>
      </c>
      <c r="Y23" s="42">
        <v>0</v>
      </c>
    </row>
    <row r="24" spans="1:25" ht="15" x14ac:dyDescent="0.15">
      <c r="A24" s="27" t="s">
        <v>78</v>
      </c>
      <c r="B24" s="11" t="s">
        <v>126</v>
      </c>
      <c r="C24" s="12" t="s">
        <v>341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34"/>
      <c r="L24" s="35">
        <f t="shared" ref="L24" si="17">L23*1.2</f>
        <v>317845049.57337594</v>
      </c>
      <c r="M24" s="35">
        <v>6537.2662146654757</v>
      </c>
      <c r="N24" s="35">
        <f t="shared" si="12"/>
        <v>363181456.37030417</v>
      </c>
      <c r="O24" s="35">
        <v>10000</v>
      </c>
      <c r="P24" s="35">
        <v>450</v>
      </c>
      <c r="Q24" s="36">
        <v>1</v>
      </c>
      <c r="R24" s="35">
        <f t="shared" si="1"/>
        <v>36318.145637030415</v>
      </c>
      <c r="S24" s="35">
        <f t="shared" si="2"/>
        <v>100</v>
      </c>
      <c r="T24" s="37">
        <v>200</v>
      </c>
      <c r="U24" s="7">
        <v>210</v>
      </c>
      <c r="V24" s="42">
        <v>10</v>
      </c>
      <c r="W24" s="42">
        <v>2560</v>
      </c>
      <c r="X24" s="42">
        <v>0</v>
      </c>
      <c r="Y24" s="42">
        <v>0</v>
      </c>
    </row>
    <row r="25" spans="1:25" ht="15" x14ac:dyDescent="0.15">
      <c r="A25" s="27" t="s">
        <v>82</v>
      </c>
      <c r="B25" s="11" t="s">
        <v>127</v>
      </c>
      <c r="C25" s="12" t="s">
        <v>341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34"/>
      <c r="L25" s="35">
        <f t="shared" ref="L25" si="18">L24*1.2</f>
        <v>381414059.48805112</v>
      </c>
      <c r="M25" s="35">
        <v>7190.9928361320244</v>
      </c>
      <c r="N25" s="35">
        <f t="shared" si="12"/>
        <v>399499602.00733459</v>
      </c>
      <c r="O25" s="35">
        <v>10000</v>
      </c>
      <c r="P25" s="35">
        <v>455</v>
      </c>
      <c r="Q25" s="36">
        <v>1</v>
      </c>
      <c r="R25" s="35">
        <f t="shared" si="1"/>
        <v>39949.960200733462</v>
      </c>
      <c r="S25" s="35">
        <f t="shared" si="2"/>
        <v>100</v>
      </c>
      <c r="T25" s="37">
        <v>200</v>
      </c>
      <c r="U25" s="7">
        <v>220</v>
      </c>
      <c r="V25" s="42">
        <v>10</v>
      </c>
      <c r="W25" s="42">
        <v>2560</v>
      </c>
      <c r="X25" s="42">
        <v>0</v>
      </c>
      <c r="Y25" s="42">
        <v>0</v>
      </c>
    </row>
    <row r="26" spans="1:25" ht="15" x14ac:dyDescent="0.15">
      <c r="A26" s="27" t="s">
        <v>76</v>
      </c>
      <c r="B26" s="11" t="s">
        <v>128</v>
      </c>
      <c r="C26" s="12" t="s">
        <v>341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34"/>
      <c r="L26" s="35">
        <f t="shared" ref="L26" si="19">L25*1.2</f>
        <v>457696871.3856613</v>
      </c>
      <c r="M26" s="35">
        <v>7910.0921197452271</v>
      </c>
      <c r="N26" s="35">
        <f t="shared" si="12"/>
        <v>439449562.20806807</v>
      </c>
      <c r="O26" s="35">
        <v>10000</v>
      </c>
      <c r="P26" s="35">
        <v>460</v>
      </c>
      <c r="Q26" s="36">
        <v>1</v>
      </c>
      <c r="R26" s="35">
        <f t="shared" si="1"/>
        <v>43944.956220806809</v>
      </c>
      <c r="S26" s="35">
        <f t="shared" si="2"/>
        <v>100</v>
      </c>
      <c r="T26" s="37">
        <v>200</v>
      </c>
      <c r="U26" s="7">
        <v>230</v>
      </c>
      <c r="V26" s="42">
        <v>10</v>
      </c>
      <c r="W26" s="42">
        <v>2560</v>
      </c>
      <c r="X26" s="42">
        <v>0</v>
      </c>
      <c r="Y26" s="42">
        <v>0</v>
      </c>
    </row>
    <row r="27" spans="1:25" ht="15" x14ac:dyDescent="0.15">
      <c r="A27" s="27" t="s">
        <v>74</v>
      </c>
      <c r="B27" s="11" t="s">
        <v>129</v>
      </c>
      <c r="C27" s="12" t="s">
        <v>341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34"/>
      <c r="L27" s="35">
        <f t="shared" ref="L27" si="20">L26*1.2</f>
        <v>549236245.66279352</v>
      </c>
      <c r="M27" s="35">
        <v>8701.1013317197503</v>
      </c>
      <c r="N27" s="35">
        <f t="shared" si="12"/>
        <v>483394518.42887491</v>
      </c>
      <c r="O27" s="35">
        <v>10000</v>
      </c>
      <c r="P27" s="35">
        <v>465</v>
      </c>
      <c r="Q27" s="36">
        <v>1</v>
      </c>
      <c r="R27" s="35">
        <f t="shared" si="1"/>
        <v>48339.451842887494</v>
      </c>
      <c r="S27" s="35">
        <f t="shared" si="2"/>
        <v>100</v>
      </c>
      <c r="T27" s="37">
        <v>200</v>
      </c>
      <c r="U27" s="7">
        <v>240</v>
      </c>
      <c r="V27" s="42">
        <v>10</v>
      </c>
      <c r="W27" s="42">
        <v>2560</v>
      </c>
      <c r="X27" s="42">
        <v>0</v>
      </c>
      <c r="Y27" s="42">
        <v>0</v>
      </c>
    </row>
    <row r="28" spans="1:25" ht="15" x14ac:dyDescent="0.15">
      <c r="A28" s="27" t="s">
        <v>72</v>
      </c>
      <c r="B28" s="11" t="s">
        <v>130</v>
      </c>
      <c r="C28" s="12" t="s">
        <v>341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34"/>
      <c r="L28" s="35">
        <f>L27*1.2</f>
        <v>659083494.79535222</v>
      </c>
      <c r="M28" s="35">
        <v>9571.211464891725</v>
      </c>
      <c r="N28" s="35">
        <f t="shared" si="12"/>
        <v>531733970.27176243</v>
      </c>
      <c r="O28" s="35">
        <v>10000</v>
      </c>
      <c r="P28" s="35">
        <v>470</v>
      </c>
      <c r="Q28" s="36">
        <v>1</v>
      </c>
      <c r="R28" s="35">
        <f t="shared" si="1"/>
        <v>53173.397027176245</v>
      </c>
      <c r="S28" s="35">
        <f t="shared" si="2"/>
        <v>100</v>
      </c>
      <c r="T28" s="37">
        <v>200</v>
      </c>
      <c r="U28" s="7">
        <v>250</v>
      </c>
      <c r="V28" s="42">
        <v>10</v>
      </c>
      <c r="W28" s="42">
        <v>2560</v>
      </c>
      <c r="X28" s="42">
        <v>0</v>
      </c>
      <c r="Y28" s="42">
        <v>0</v>
      </c>
    </row>
    <row r="29" spans="1:25" ht="15" x14ac:dyDescent="0.15">
      <c r="A29" s="27" t="s">
        <v>84</v>
      </c>
      <c r="B29" s="11" t="s">
        <v>131</v>
      </c>
      <c r="C29" s="12" t="s">
        <v>353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34"/>
      <c r="L29" s="7">
        <f t="shared" ref="L29:N29" si="21">L8*5</f>
        <v>20000000</v>
      </c>
      <c r="M29" s="7">
        <v>720</v>
      </c>
      <c r="N29" s="7">
        <f t="shared" si="21"/>
        <v>40000000</v>
      </c>
      <c r="O29" s="35">
        <v>10000</v>
      </c>
      <c r="P29" s="35">
        <v>370</v>
      </c>
      <c r="Q29" s="36">
        <v>1</v>
      </c>
      <c r="R29" s="35">
        <f t="shared" si="1"/>
        <v>4000</v>
      </c>
      <c r="S29" s="35">
        <f t="shared" si="2"/>
        <v>100</v>
      </c>
      <c r="T29" s="7">
        <v>200</v>
      </c>
      <c r="U29" s="7">
        <f>U8*5</f>
        <v>250</v>
      </c>
      <c r="V29" s="42">
        <v>10</v>
      </c>
      <c r="W29" s="42">
        <v>3000</v>
      </c>
      <c r="X29" s="42">
        <v>0</v>
      </c>
      <c r="Y29" s="42">
        <v>0</v>
      </c>
    </row>
    <row r="30" spans="1:25" ht="15" x14ac:dyDescent="0.15">
      <c r="A30" s="27" t="s">
        <v>244</v>
      </c>
      <c r="B30" s="11" t="s">
        <v>132</v>
      </c>
      <c r="C30" s="12" t="s">
        <v>353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34"/>
      <c r="L30" s="7">
        <f t="shared" ref="L30:N30" si="22">L13*5</f>
        <v>182250000</v>
      </c>
      <c r="M30" s="7">
        <v>6318</v>
      </c>
      <c r="N30" s="7">
        <f t="shared" si="22"/>
        <v>351000000</v>
      </c>
      <c r="O30" s="35">
        <v>10000</v>
      </c>
      <c r="P30" s="35">
        <v>395</v>
      </c>
      <c r="Q30" s="36">
        <v>0.9</v>
      </c>
      <c r="R30" s="35">
        <f t="shared" si="1"/>
        <v>35100</v>
      </c>
      <c r="S30" s="35">
        <f t="shared" si="2"/>
        <v>100</v>
      </c>
      <c r="T30" s="7">
        <v>200</v>
      </c>
      <c r="U30" s="7">
        <f>U13*5</f>
        <v>500</v>
      </c>
      <c r="V30" s="42">
        <v>10</v>
      </c>
      <c r="W30" s="42">
        <v>7680</v>
      </c>
      <c r="X30" s="42">
        <v>0</v>
      </c>
      <c r="Y30" s="42">
        <v>0</v>
      </c>
    </row>
    <row r="31" spans="1:25" ht="15" x14ac:dyDescent="0.15">
      <c r="A31" s="27" t="s">
        <v>245</v>
      </c>
      <c r="B31" s="11" t="s">
        <v>133</v>
      </c>
      <c r="C31" s="12" t="s">
        <v>353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34"/>
      <c r="L31" s="7">
        <f>L18*5</f>
        <v>532228320</v>
      </c>
      <c r="M31" s="7">
        <v>18450.581760000001</v>
      </c>
      <c r="N31" s="7">
        <f>N18*5</f>
        <v>1025032320</v>
      </c>
      <c r="O31" s="35">
        <v>10000</v>
      </c>
      <c r="P31" s="35">
        <v>410</v>
      </c>
      <c r="Q31" s="36">
        <v>0.8</v>
      </c>
      <c r="R31" s="35">
        <f t="shared" si="1"/>
        <v>102503.232</v>
      </c>
      <c r="S31" s="35">
        <f t="shared" si="2"/>
        <v>100</v>
      </c>
      <c r="T31" s="7">
        <v>200</v>
      </c>
      <c r="U31" s="7">
        <f>U18*5</f>
        <v>750</v>
      </c>
      <c r="V31" s="42">
        <v>10</v>
      </c>
      <c r="W31" s="42">
        <v>10240</v>
      </c>
      <c r="X31" s="42">
        <v>0</v>
      </c>
      <c r="Y31" s="42">
        <v>0</v>
      </c>
    </row>
    <row r="32" spans="1:25" ht="15" x14ac:dyDescent="0.15">
      <c r="A32" s="31" t="s">
        <v>246</v>
      </c>
      <c r="B32" s="11" t="s">
        <v>134</v>
      </c>
      <c r="C32" s="12" t="s">
        <v>353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34"/>
      <c r="L32" s="7">
        <f t="shared" ref="L32:N32" si="23">L23*5</f>
        <v>1324354373.2223997</v>
      </c>
      <c r="M32" s="7">
        <v>29714.846430297614</v>
      </c>
      <c r="N32" s="7">
        <f t="shared" si="23"/>
        <v>1650824801.6832006</v>
      </c>
      <c r="O32" s="35">
        <v>10000</v>
      </c>
      <c r="P32" s="35">
        <v>435</v>
      </c>
      <c r="Q32" s="36">
        <v>0.7</v>
      </c>
      <c r="R32" s="35">
        <f t="shared" si="1"/>
        <v>165082.48016832006</v>
      </c>
      <c r="S32" s="35">
        <f t="shared" si="2"/>
        <v>100</v>
      </c>
      <c r="T32" s="7">
        <v>200</v>
      </c>
      <c r="U32" s="7">
        <f>U23*5</f>
        <v>1000</v>
      </c>
      <c r="V32" s="42">
        <v>10</v>
      </c>
      <c r="W32" s="42">
        <v>12800</v>
      </c>
      <c r="X32" s="42">
        <v>20</v>
      </c>
      <c r="Y32" s="42">
        <v>500</v>
      </c>
    </row>
    <row r="33" spans="1:25" ht="15" x14ac:dyDescent="0.15">
      <c r="A33" s="31" t="s">
        <v>247</v>
      </c>
      <c r="B33" s="11" t="s">
        <v>135</v>
      </c>
      <c r="C33" s="12" t="s">
        <v>353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34"/>
      <c r="L33" s="7">
        <f>L32*1.5</f>
        <v>1986531559.8335996</v>
      </c>
      <c r="M33" s="7">
        <v>47856.057324458627</v>
      </c>
      <c r="N33" s="7">
        <f t="shared" ref="N33" si="24">N28*5</f>
        <v>2658669851.3588123</v>
      </c>
      <c r="O33" s="35">
        <v>10000</v>
      </c>
      <c r="P33" s="7">
        <v>470</v>
      </c>
      <c r="Q33" s="36">
        <v>0.5</v>
      </c>
      <c r="R33" s="35">
        <f t="shared" si="1"/>
        <v>265866.98513588123</v>
      </c>
      <c r="S33" s="35">
        <f t="shared" si="2"/>
        <v>100</v>
      </c>
      <c r="T33" s="7">
        <v>200</v>
      </c>
      <c r="U33" s="7">
        <f>U28*5</f>
        <v>1250</v>
      </c>
      <c r="V33" s="42">
        <v>10</v>
      </c>
      <c r="W33" s="42">
        <v>25600</v>
      </c>
      <c r="X33" s="42">
        <v>20</v>
      </c>
      <c r="Y33" s="42">
        <v>500</v>
      </c>
    </row>
    <row r="34" spans="1:25" ht="15" x14ac:dyDescent="0.15">
      <c r="A34" s="27" t="s">
        <v>248</v>
      </c>
      <c r="B34" s="11" t="s">
        <v>136</v>
      </c>
      <c r="C34" s="12" t="s">
        <v>353</v>
      </c>
      <c r="D34" s="7"/>
      <c r="E34" s="7"/>
      <c r="F34" s="33">
        <v>500</v>
      </c>
      <c r="G34" s="33"/>
      <c r="H34" s="33"/>
      <c r="I34" s="33">
        <v>500</v>
      </c>
      <c r="J34" s="46" t="s">
        <v>427</v>
      </c>
      <c r="K34" s="34"/>
      <c r="L34" s="39">
        <f t="shared" ref="L34:N34" si="25">L33*0.7</f>
        <v>1390572091.8835196</v>
      </c>
      <c r="M34" s="39">
        <v>33499.24012712104</v>
      </c>
      <c r="N34" s="39">
        <f t="shared" si="25"/>
        <v>1861068895.9511685</v>
      </c>
      <c r="O34" s="35">
        <v>10000</v>
      </c>
      <c r="P34" s="39">
        <v>350</v>
      </c>
      <c r="Q34" s="40">
        <v>0.6</v>
      </c>
      <c r="R34" s="39">
        <f t="shared" si="1"/>
        <v>186106.88959511687</v>
      </c>
      <c r="S34" s="39">
        <f>O34*0.001</f>
        <v>10</v>
      </c>
      <c r="T34" s="41">
        <v>200</v>
      </c>
      <c r="U34" s="39">
        <v>200</v>
      </c>
      <c r="V34" s="42">
        <v>10</v>
      </c>
      <c r="W34" s="42">
        <v>15360</v>
      </c>
      <c r="X34" s="42">
        <v>20</v>
      </c>
      <c r="Y34" s="42">
        <v>500</v>
      </c>
    </row>
    <row r="35" spans="1:25" ht="15" x14ac:dyDescent="0.15">
      <c r="A35" s="27" t="s">
        <v>249</v>
      </c>
      <c r="B35" s="11" t="s">
        <v>137</v>
      </c>
      <c r="C35" s="12" t="s">
        <v>341</v>
      </c>
      <c r="D35" s="7"/>
      <c r="E35" s="7"/>
      <c r="F35" s="33">
        <v>10</v>
      </c>
      <c r="G35" s="33"/>
      <c r="H35" s="33"/>
      <c r="I35" s="33">
        <v>500</v>
      </c>
      <c r="J35" s="49">
        <v>9.5000000000000001E-2</v>
      </c>
      <c r="K35" s="34"/>
      <c r="L35" s="39">
        <v>50</v>
      </c>
      <c r="M35" s="39">
        <v>1.8</v>
      </c>
      <c r="N35" s="39">
        <v>2500</v>
      </c>
      <c r="O35" s="39">
        <f t="shared" ref="O35:U35" si="26">O4</f>
        <v>100</v>
      </c>
      <c r="P35" s="39">
        <f t="shared" si="26"/>
        <v>350</v>
      </c>
      <c r="Q35" s="40">
        <f t="shared" si="26"/>
        <v>1</v>
      </c>
      <c r="R35" s="39">
        <f t="shared" si="26"/>
        <v>10</v>
      </c>
      <c r="S35" s="39">
        <f t="shared" si="26"/>
        <v>1</v>
      </c>
      <c r="T35" s="39">
        <f t="shared" si="26"/>
        <v>200</v>
      </c>
      <c r="U35" s="39">
        <f t="shared" si="26"/>
        <v>10</v>
      </c>
      <c r="V35" s="42">
        <v>5</v>
      </c>
      <c r="W35" s="42">
        <v>0</v>
      </c>
      <c r="X35" s="42">
        <v>0</v>
      </c>
      <c r="Y35" s="42">
        <v>0</v>
      </c>
    </row>
    <row r="36" spans="1:25" ht="15" x14ac:dyDescent="0.15">
      <c r="A36" s="27" t="s">
        <v>250</v>
      </c>
      <c r="B36" s="11" t="s">
        <v>138</v>
      </c>
      <c r="C36" s="12" t="s">
        <v>341</v>
      </c>
      <c r="D36" s="7"/>
      <c r="E36" s="7"/>
      <c r="F36" s="33">
        <v>1000</v>
      </c>
      <c r="G36" s="33"/>
      <c r="H36" s="33"/>
      <c r="I36" s="33">
        <v>500</v>
      </c>
      <c r="J36" s="49">
        <v>9.5000000000000001E-2</v>
      </c>
      <c r="K36" s="34"/>
      <c r="L36" s="39">
        <v>50000</v>
      </c>
      <c r="M36" s="39">
        <v>3.6</v>
      </c>
      <c r="N36" s="39">
        <v>200000</v>
      </c>
      <c r="O36" s="39">
        <f t="shared" ref="O36:U36" si="27">O6</f>
        <v>100</v>
      </c>
      <c r="P36" s="39">
        <f t="shared" si="27"/>
        <v>360</v>
      </c>
      <c r="Q36" s="40">
        <f t="shared" si="27"/>
        <v>1</v>
      </c>
      <c r="R36" s="39">
        <f t="shared" si="27"/>
        <v>200</v>
      </c>
      <c r="S36" s="39">
        <f t="shared" si="27"/>
        <v>1</v>
      </c>
      <c r="T36" s="39">
        <f t="shared" si="27"/>
        <v>200</v>
      </c>
      <c r="U36" s="39">
        <f t="shared" si="27"/>
        <v>30</v>
      </c>
      <c r="V36" s="42">
        <v>5</v>
      </c>
      <c r="W36" s="42">
        <v>0</v>
      </c>
      <c r="X36" s="42">
        <v>0</v>
      </c>
      <c r="Y36" s="42">
        <v>0</v>
      </c>
    </row>
    <row r="37" spans="1:25" ht="15" x14ac:dyDescent="0.15">
      <c r="A37" s="27" t="s">
        <v>251</v>
      </c>
      <c r="B37" s="11" t="s">
        <v>139</v>
      </c>
      <c r="C37" s="12" t="s">
        <v>341</v>
      </c>
      <c r="D37" s="7"/>
      <c r="E37" s="7"/>
      <c r="F37" s="33">
        <v>3500</v>
      </c>
      <c r="G37" s="33"/>
      <c r="H37" s="33"/>
      <c r="I37" s="33">
        <v>500</v>
      </c>
      <c r="J37" s="49">
        <v>9.5000000000000001E-2</v>
      </c>
      <c r="K37" s="34"/>
      <c r="L37" s="39">
        <f>L5</f>
        <v>200000</v>
      </c>
      <c r="M37" s="39">
        <v>18</v>
      </c>
      <c r="N37" s="39">
        <f t="shared" ref="N37" si="28">N5</f>
        <v>1000000</v>
      </c>
      <c r="O37" s="39">
        <f t="shared" ref="O37:U37" si="29">O8</f>
        <v>1000</v>
      </c>
      <c r="P37" s="39">
        <f t="shared" si="29"/>
        <v>370</v>
      </c>
      <c r="Q37" s="40">
        <f t="shared" si="29"/>
        <v>1</v>
      </c>
      <c r="R37" s="39">
        <f t="shared" si="29"/>
        <v>800</v>
      </c>
      <c r="S37" s="39">
        <f t="shared" si="29"/>
        <v>10</v>
      </c>
      <c r="T37" s="39">
        <f t="shared" si="29"/>
        <v>200</v>
      </c>
      <c r="U37" s="39">
        <f t="shared" si="29"/>
        <v>50</v>
      </c>
      <c r="V37" s="42">
        <v>5</v>
      </c>
      <c r="W37" s="42">
        <v>0</v>
      </c>
      <c r="X37" s="42">
        <v>0</v>
      </c>
      <c r="Y37" s="42">
        <v>0</v>
      </c>
    </row>
    <row r="38" spans="1:25" ht="15" x14ac:dyDescent="0.15">
      <c r="A38" s="27" t="s">
        <v>252</v>
      </c>
      <c r="B38" s="11" t="s">
        <v>140</v>
      </c>
      <c r="C38" s="12" t="s">
        <v>341</v>
      </c>
      <c r="D38" s="7"/>
      <c r="E38" s="7"/>
      <c r="F38" s="33">
        <v>10000</v>
      </c>
      <c r="G38" s="33"/>
      <c r="H38" s="33"/>
      <c r="I38" s="33">
        <v>500</v>
      </c>
      <c r="J38" s="49">
        <v>9.5000000000000001E-2</v>
      </c>
      <c r="K38" s="34"/>
      <c r="L38" s="39">
        <v>1000000</v>
      </c>
      <c r="M38" s="39">
        <v>45</v>
      </c>
      <c r="N38" s="39">
        <v>4000000</v>
      </c>
      <c r="O38" s="39">
        <f t="shared" ref="O38:U38" si="30">O10</f>
        <v>10000</v>
      </c>
      <c r="P38" s="39">
        <f t="shared" si="30"/>
        <v>380</v>
      </c>
      <c r="Q38" s="40">
        <f t="shared" si="30"/>
        <v>1</v>
      </c>
      <c r="R38" s="39">
        <f t="shared" si="30"/>
        <v>2400</v>
      </c>
      <c r="S38" s="39">
        <f t="shared" si="30"/>
        <v>100</v>
      </c>
      <c r="T38" s="39">
        <f t="shared" si="30"/>
        <v>200</v>
      </c>
      <c r="U38" s="39">
        <f t="shared" si="30"/>
        <v>70</v>
      </c>
      <c r="V38" s="42">
        <v>5</v>
      </c>
      <c r="W38" s="42">
        <v>0</v>
      </c>
      <c r="X38" s="42">
        <v>0</v>
      </c>
      <c r="Y38" s="42">
        <v>0</v>
      </c>
    </row>
    <row r="39" spans="1:25" ht="15" x14ac:dyDescent="0.15">
      <c r="A39" s="27" t="s">
        <v>253</v>
      </c>
      <c r="B39" s="11" t="s">
        <v>141</v>
      </c>
      <c r="C39" s="12" t="s">
        <v>341</v>
      </c>
      <c r="D39" s="7"/>
      <c r="E39" s="7"/>
      <c r="F39" s="42"/>
      <c r="G39" s="42">
        <v>2</v>
      </c>
      <c r="H39" s="42"/>
      <c r="I39" s="33">
        <v>500</v>
      </c>
      <c r="J39" s="49">
        <v>9.5000000000000001E-2</v>
      </c>
      <c r="K39" s="34"/>
      <c r="L39" s="39">
        <v>4000000</v>
      </c>
      <c r="M39" s="39">
        <v>90</v>
      </c>
      <c r="N39" s="39">
        <f t="shared" ref="N39" si="31">N38*2</f>
        <v>8000000</v>
      </c>
      <c r="O39" s="39">
        <f t="shared" ref="O39:U39" si="32">O12</f>
        <v>10000</v>
      </c>
      <c r="P39" s="39">
        <f t="shared" si="32"/>
        <v>390</v>
      </c>
      <c r="Q39" s="40">
        <f t="shared" si="32"/>
        <v>1</v>
      </c>
      <c r="R39" s="39">
        <f t="shared" si="32"/>
        <v>5400</v>
      </c>
      <c r="S39" s="39">
        <f t="shared" si="32"/>
        <v>100</v>
      </c>
      <c r="T39" s="39">
        <f t="shared" si="32"/>
        <v>200</v>
      </c>
      <c r="U39" s="39">
        <f t="shared" si="32"/>
        <v>90</v>
      </c>
      <c r="V39" s="39">
        <v>10</v>
      </c>
      <c r="W39" s="39">
        <v>512</v>
      </c>
      <c r="X39" s="42">
        <v>0</v>
      </c>
      <c r="Y39" s="42">
        <v>0</v>
      </c>
    </row>
    <row r="40" spans="1:25" ht="14.25" customHeight="1" x14ac:dyDescent="0.15">
      <c r="A40" s="27" t="s">
        <v>254</v>
      </c>
      <c r="B40" s="11" t="s">
        <v>142</v>
      </c>
      <c r="C40" s="12" t="s">
        <v>341</v>
      </c>
      <c r="D40" s="7"/>
      <c r="E40" s="7"/>
      <c r="F40" s="42"/>
      <c r="G40" s="33">
        <v>5</v>
      </c>
      <c r="H40" s="33"/>
      <c r="I40" s="33">
        <v>500</v>
      </c>
      <c r="J40" s="49">
        <v>9.5000000000000001E-2</v>
      </c>
      <c r="K40" s="34"/>
      <c r="L40" s="39">
        <f>L43*1.5</f>
        <v>12000000</v>
      </c>
      <c r="M40" s="39">
        <v>270</v>
      </c>
      <c r="N40" s="39">
        <f t="shared" ref="N40" si="33">N43*1.5</f>
        <v>24000000</v>
      </c>
      <c r="O40" s="39">
        <f t="shared" ref="O40:U40" si="34">O14</f>
        <v>10000</v>
      </c>
      <c r="P40" s="39">
        <f t="shared" si="34"/>
        <v>400</v>
      </c>
      <c r="Q40" s="40">
        <f t="shared" si="34"/>
        <v>1</v>
      </c>
      <c r="R40" s="39">
        <f t="shared" si="34"/>
        <v>9126</v>
      </c>
      <c r="S40" s="39">
        <f t="shared" si="34"/>
        <v>100</v>
      </c>
      <c r="T40" s="39">
        <f t="shared" si="34"/>
        <v>200</v>
      </c>
      <c r="U40" s="39">
        <f t="shared" si="34"/>
        <v>110</v>
      </c>
      <c r="V40" s="39">
        <v>10</v>
      </c>
      <c r="W40" s="39">
        <v>1024</v>
      </c>
      <c r="X40" s="42">
        <v>0</v>
      </c>
      <c r="Y40" s="42">
        <v>0</v>
      </c>
    </row>
    <row r="41" spans="1:25" ht="15" x14ac:dyDescent="0.15">
      <c r="A41" s="27" t="s">
        <v>255</v>
      </c>
      <c r="B41" s="11" t="s">
        <v>143</v>
      </c>
      <c r="C41" s="12" t="s">
        <v>341</v>
      </c>
      <c r="D41" s="7"/>
      <c r="E41" s="7"/>
      <c r="F41" s="42"/>
      <c r="G41" s="33">
        <v>15</v>
      </c>
      <c r="H41" s="33"/>
      <c r="I41" s="33">
        <v>500</v>
      </c>
      <c r="J41" s="49">
        <v>9.5000000000000001E-2</v>
      </c>
      <c r="K41" s="34"/>
      <c r="L41" s="39">
        <f>L44*1.5</f>
        <v>27000000</v>
      </c>
      <c r="M41" s="39">
        <v>607.5</v>
      </c>
      <c r="N41" s="39">
        <f t="shared" ref="N41" si="35">N44*1.5</f>
        <v>54000000</v>
      </c>
      <c r="O41" s="39">
        <f t="shared" ref="O41:U41" si="36">O16</f>
        <v>10000</v>
      </c>
      <c r="P41" s="39">
        <f t="shared" si="36"/>
        <v>410</v>
      </c>
      <c r="Q41" s="40">
        <f t="shared" si="36"/>
        <v>1</v>
      </c>
      <c r="R41" s="39">
        <f t="shared" si="36"/>
        <v>14236.560000000001</v>
      </c>
      <c r="S41" s="39">
        <f t="shared" si="36"/>
        <v>100</v>
      </c>
      <c r="T41" s="39">
        <f t="shared" si="36"/>
        <v>200</v>
      </c>
      <c r="U41" s="39">
        <f t="shared" si="36"/>
        <v>130</v>
      </c>
      <c r="V41" s="39">
        <v>10</v>
      </c>
      <c r="W41" s="39">
        <v>1536</v>
      </c>
      <c r="X41" s="42">
        <v>0</v>
      </c>
      <c r="Y41" s="42">
        <v>0</v>
      </c>
    </row>
    <row r="42" spans="1:25" ht="15" x14ac:dyDescent="0.15">
      <c r="A42" s="27" t="s">
        <v>256</v>
      </c>
      <c r="B42" s="11" t="s">
        <v>144</v>
      </c>
      <c r="C42" s="12" t="s">
        <v>341</v>
      </c>
      <c r="D42" s="7"/>
      <c r="E42" s="7"/>
      <c r="F42" s="42"/>
      <c r="G42" s="33">
        <v>50</v>
      </c>
      <c r="H42" s="33"/>
      <c r="I42" s="33">
        <v>500</v>
      </c>
      <c r="J42" s="49">
        <v>9.5000000000000001E-2</v>
      </c>
      <c r="K42" s="34"/>
      <c r="L42" s="39">
        <f>L45*1.5</f>
        <v>60750000</v>
      </c>
      <c r="M42" s="39">
        <v>1366.875</v>
      </c>
      <c r="N42" s="39">
        <f t="shared" ref="N42" si="37">N45*1.5</f>
        <v>121500000</v>
      </c>
      <c r="O42" s="39">
        <f t="shared" ref="O42:U42" si="38">O18</f>
        <v>10000</v>
      </c>
      <c r="P42" s="39">
        <f t="shared" si="38"/>
        <v>420</v>
      </c>
      <c r="Q42" s="40">
        <f t="shared" si="38"/>
        <v>1</v>
      </c>
      <c r="R42" s="39">
        <f t="shared" si="38"/>
        <v>20500.646400000001</v>
      </c>
      <c r="S42" s="39">
        <f t="shared" si="38"/>
        <v>100</v>
      </c>
      <c r="T42" s="39">
        <f t="shared" si="38"/>
        <v>200</v>
      </c>
      <c r="U42" s="39">
        <f t="shared" si="38"/>
        <v>150</v>
      </c>
      <c r="V42" s="39">
        <v>10</v>
      </c>
      <c r="W42" s="39">
        <v>2560</v>
      </c>
      <c r="X42" s="42">
        <v>0</v>
      </c>
      <c r="Y42" s="42">
        <v>0</v>
      </c>
    </row>
    <row r="43" spans="1:25" ht="15" x14ac:dyDescent="0.15">
      <c r="A43" s="27" t="s">
        <v>388</v>
      </c>
      <c r="B43" s="11" t="s">
        <v>145</v>
      </c>
      <c r="C43" s="12" t="s">
        <v>341</v>
      </c>
      <c r="D43" s="7"/>
      <c r="E43" s="7"/>
      <c r="F43" s="42"/>
      <c r="G43" s="33"/>
      <c r="H43" s="33">
        <v>5</v>
      </c>
      <c r="I43" s="33">
        <v>500</v>
      </c>
      <c r="J43" s="49">
        <v>9.5000000000000001E-2</v>
      </c>
      <c r="K43" s="34"/>
      <c r="L43" s="39">
        <f>L39*2</f>
        <v>8000000</v>
      </c>
      <c r="M43" s="39">
        <v>180</v>
      </c>
      <c r="N43" s="39">
        <f t="shared" ref="N43" si="39">N39*2</f>
        <v>16000000</v>
      </c>
      <c r="O43" s="39">
        <f t="shared" ref="O43:T43" si="40">O8</f>
        <v>1000</v>
      </c>
      <c r="P43" s="39">
        <f t="shared" si="40"/>
        <v>370</v>
      </c>
      <c r="Q43" s="40">
        <f t="shared" si="40"/>
        <v>1</v>
      </c>
      <c r="R43" s="39">
        <f t="shared" si="40"/>
        <v>800</v>
      </c>
      <c r="S43" s="39">
        <f t="shared" si="40"/>
        <v>10</v>
      </c>
      <c r="T43" s="39">
        <f t="shared" si="40"/>
        <v>200</v>
      </c>
      <c r="U43" s="39">
        <v>100</v>
      </c>
      <c r="V43" s="39">
        <v>10</v>
      </c>
      <c r="W43" s="39">
        <v>768</v>
      </c>
      <c r="X43" s="39">
        <f>X13</f>
        <v>0</v>
      </c>
      <c r="Y43" s="39">
        <v>0</v>
      </c>
    </row>
    <row r="44" spans="1:25" ht="15" x14ac:dyDescent="0.15">
      <c r="A44" s="27" t="s">
        <v>389</v>
      </c>
      <c r="B44" s="11" t="s">
        <v>146</v>
      </c>
      <c r="C44" s="12" t="s">
        <v>341</v>
      </c>
      <c r="D44" s="7"/>
      <c r="E44" s="7"/>
      <c r="F44" s="42"/>
      <c r="G44" s="33"/>
      <c r="H44" s="33">
        <v>35</v>
      </c>
      <c r="I44" s="33">
        <v>500</v>
      </c>
      <c r="J44" s="49">
        <v>9.5000000000000001E-2</v>
      </c>
      <c r="K44" s="34"/>
      <c r="L44" s="39">
        <f>L40*1.5</f>
        <v>18000000</v>
      </c>
      <c r="M44" s="39">
        <v>405</v>
      </c>
      <c r="N44" s="39">
        <f t="shared" ref="N44" si="41">N40*1.5</f>
        <v>36000000</v>
      </c>
      <c r="O44" s="39">
        <f t="shared" ref="O44:X44" si="42">O14</f>
        <v>10000</v>
      </c>
      <c r="P44" s="39">
        <f t="shared" si="42"/>
        <v>400</v>
      </c>
      <c r="Q44" s="40">
        <f t="shared" si="42"/>
        <v>1</v>
      </c>
      <c r="R44" s="39">
        <f t="shared" si="42"/>
        <v>9126</v>
      </c>
      <c r="S44" s="39">
        <f t="shared" si="42"/>
        <v>100</v>
      </c>
      <c r="T44" s="39">
        <f t="shared" si="42"/>
        <v>200</v>
      </c>
      <c r="U44" s="39">
        <f t="shared" si="42"/>
        <v>110</v>
      </c>
      <c r="V44" s="39">
        <v>10</v>
      </c>
      <c r="W44" s="39">
        <v>1280</v>
      </c>
      <c r="X44" s="39">
        <f t="shared" si="42"/>
        <v>0</v>
      </c>
      <c r="Y44" s="39">
        <v>0</v>
      </c>
    </row>
    <row r="45" spans="1:25" ht="14.25" customHeight="1" x14ac:dyDescent="0.15">
      <c r="A45" s="27" t="s">
        <v>390</v>
      </c>
      <c r="B45" s="11" t="s">
        <v>147</v>
      </c>
      <c r="C45" s="12" t="s">
        <v>341</v>
      </c>
      <c r="D45" s="7"/>
      <c r="E45" s="7"/>
      <c r="F45" s="42"/>
      <c r="G45" s="33"/>
      <c r="H45" s="33">
        <v>100</v>
      </c>
      <c r="I45" s="33">
        <v>500</v>
      </c>
      <c r="J45" s="49">
        <v>9.5000000000000001E-2</v>
      </c>
      <c r="K45" s="34"/>
      <c r="L45" s="39">
        <f>L41*1.5</f>
        <v>40500000</v>
      </c>
      <c r="M45" s="39">
        <v>911.25</v>
      </c>
      <c r="N45" s="39">
        <f t="shared" ref="N45" si="43">N41*1.5</f>
        <v>81000000</v>
      </c>
      <c r="O45" s="39">
        <f t="shared" ref="O45:X45" si="44">O23</f>
        <v>10000</v>
      </c>
      <c r="P45" s="39">
        <f t="shared" si="44"/>
        <v>445</v>
      </c>
      <c r="Q45" s="40">
        <f t="shared" si="44"/>
        <v>1</v>
      </c>
      <c r="R45" s="39">
        <f t="shared" si="44"/>
        <v>33016.496033664014</v>
      </c>
      <c r="S45" s="39">
        <f t="shared" si="44"/>
        <v>100</v>
      </c>
      <c r="T45" s="39">
        <f t="shared" si="44"/>
        <v>200</v>
      </c>
      <c r="U45" s="39">
        <f t="shared" si="44"/>
        <v>200</v>
      </c>
      <c r="V45" s="39">
        <v>10</v>
      </c>
      <c r="W45" s="39">
        <v>2048</v>
      </c>
      <c r="X45" s="39">
        <f t="shared" si="44"/>
        <v>0</v>
      </c>
      <c r="Y45" s="39">
        <v>0</v>
      </c>
    </row>
    <row r="46" spans="1:25" ht="15" x14ac:dyDescent="0.15">
      <c r="A46" s="27" t="s">
        <v>257</v>
      </c>
      <c r="B46" s="11" t="s">
        <v>148</v>
      </c>
      <c r="C46" s="12" t="s">
        <v>353</v>
      </c>
      <c r="D46" s="7"/>
      <c r="E46" s="7"/>
      <c r="F46" s="33">
        <v>500</v>
      </c>
      <c r="G46" s="33"/>
      <c r="H46" s="33"/>
      <c r="I46" s="33">
        <v>500</v>
      </c>
      <c r="J46" s="49">
        <v>0</v>
      </c>
      <c r="K46" s="34"/>
      <c r="L46" s="39">
        <v>1250000</v>
      </c>
      <c r="M46" s="39">
        <v>27</v>
      </c>
      <c r="N46" s="39">
        <v>7500000</v>
      </c>
      <c r="O46" s="39">
        <f>O4*3</f>
        <v>300</v>
      </c>
      <c r="P46" s="35">
        <f>P4</f>
        <v>350</v>
      </c>
      <c r="Q46" s="36">
        <v>0.75</v>
      </c>
      <c r="R46" s="35">
        <f>R4</f>
        <v>10</v>
      </c>
      <c r="S46" s="35">
        <f>S4</f>
        <v>1</v>
      </c>
      <c r="T46" s="35">
        <f>T4</f>
        <v>200</v>
      </c>
      <c r="U46" s="35">
        <f>U4</f>
        <v>10</v>
      </c>
      <c r="V46" s="42">
        <v>10</v>
      </c>
      <c r="W46" s="42">
        <v>1024</v>
      </c>
      <c r="X46" s="42">
        <v>0</v>
      </c>
      <c r="Y46" s="42">
        <v>0</v>
      </c>
    </row>
    <row r="47" spans="1:25" ht="15" x14ac:dyDescent="0.15">
      <c r="A47" s="27" t="s">
        <v>258</v>
      </c>
      <c r="B47" s="11" t="s">
        <v>149</v>
      </c>
      <c r="C47" s="12" t="s">
        <v>353</v>
      </c>
      <c r="D47" s="7"/>
      <c r="E47" s="7"/>
      <c r="F47" s="33">
        <v>500</v>
      </c>
      <c r="G47" s="33"/>
      <c r="H47" s="33"/>
      <c r="I47" s="33">
        <v>500</v>
      </c>
      <c r="J47" s="46">
        <v>0</v>
      </c>
      <c r="K47" s="34"/>
      <c r="L47" s="39">
        <f>L46*1.25</f>
        <v>1562500</v>
      </c>
      <c r="M47" s="39">
        <v>33.75</v>
      </c>
      <c r="N47" s="39">
        <f t="shared" ref="N47" si="45">N46*1.25</f>
        <v>9375000</v>
      </c>
      <c r="O47" s="39">
        <f t="shared" ref="O47:O62" si="46">O5*3</f>
        <v>300</v>
      </c>
      <c r="P47" s="35">
        <f t="shared" ref="P47:P70" si="47">P5</f>
        <v>355</v>
      </c>
      <c r="Q47" s="36">
        <v>0.75</v>
      </c>
      <c r="R47" s="35">
        <f t="shared" ref="R47:U62" si="48">R5</f>
        <v>100</v>
      </c>
      <c r="S47" s="35">
        <f t="shared" si="48"/>
        <v>1</v>
      </c>
      <c r="T47" s="35">
        <f t="shared" si="48"/>
        <v>200</v>
      </c>
      <c r="U47" s="35">
        <f t="shared" si="48"/>
        <v>20</v>
      </c>
      <c r="V47" s="42">
        <v>10</v>
      </c>
      <c r="W47" s="42">
        <v>1024</v>
      </c>
      <c r="X47" s="42">
        <v>0</v>
      </c>
      <c r="Y47" s="42">
        <v>0</v>
      </c>
    </row>
    <row r="48" spans="1:25" ht="15" x14ac:dyDescent="0.15">
      <c r="A48" s="27" t="s">
        <v>259</v>
      </c>
      <c r="B48" s="11" t="s">
        <v>150</v>
      </c>
      <c r="C48" s="12" t="s">
        <v>353</v>
      </c>
      <c r="D48" s="7"/>
      <c r="E48" s="7"/>
      <c r="F48" s="33">
        <v>500</v>
      </c>
      <c r="G48" s="33"/>
      <c r="H48" s="33"/>
      <c r="I48" s="33">
        <v>500</v>
      </c>
      <c r="J48" s="46">
        <v>0</v>
      </c>
      <c r="K48" s="34"/>
      <c r="L48" s="39">
        <v>9000000</v>
      </c>
      <c r="M48" s="39">
        <v>65.91796875</v>
      </c>
      <c r="N48" s="39">
        <v>18310546.875</v>
      </c>
      <c r="O48" s="39">
        <f t="shared" si="46"/>
        <v>300</v>
      </c>
      <c r="P48" s="35">
        <f t="shared" si="47"/>
        <v>360</v>
      </c>
      <c r="Q48" s="36">
        <v>0.75</v>
      </c>
      <c r="R48" s="35">
        <f t="shared" si="48"/>
        <v>200</v>
      </c>
      <c r="S48" s="35">
        <f t="shared" si="48"/>
        <v>1</v>
      </c>
      <c r="T48" s="35">
        <f t="shared" si="48"/>
        <v>200</v>
      </c>
      <c r="U48" s="35">
        <f t="shared" si="48"/>
        <v>30</v>
      </c>
      <c r="V48" s="42">
        <v>10</v>
      </c>
      <c r="W48" s="42">
        <v>1024</v>
      </c>
      <c r="X48" s="42">
        <v>0</v>
      </c>
      <c r="Y48" s="42">
        <v>0</v>
      </c>
    </row>
    <row r="49" spans="1:25" ht="15" x14ac:dyDescent="0.15">
      <c r="A49" s="27" t="s">
        <v>260</v>
      </c>
      <c r="B49" s="11" t="s">
        <v>151</v>
      </c>
      <c r="C49" s="12" t="s">
        <v>353</v>
      </c>
      <c r="D49" s="7"/>
      <c r="E49" s="7"/>
      <c r="F49" s="33">
        <v>500</v>
      </c>
      <c r="G49" s="33"/>
      <c r="H49" s="33"/>
      <c r="I49" s="33">
        <v>500</v>
      </c>
      <c r="J49" s="46">
        <v>0</v>
      </c>
      <c r="K49" s="34"/>
      <c r="L49" s="39">
        <f>L48*1.25</f>
        <v>11250000</v>
      </c>
      <c r="M49" s="39">
        <v>82.3974609375</v>
      </c>
      <c r="N49" s="39">
        <f>N48*1.25</f>
        <v>22888183.59375</v>
      </c>
      <c r="O49" s="39">
        <f t="shared" si="46"/>
        <v>3000</v>
      </c>
      <c r="P49" s="35">
        <f t="shared" si="47"/>
        <v>365</v>
      </c>
      <c r="Q49" s="36">
        <v>0.75</v>
      </c>
      <c r="R49" s="35">
        <f t="shared" si="48"/>
        <v>400</v>
      </c>
      <c r="S49" s="35">
        <f t="shared" si="48"/>
        <v>10</v>
      </c>
      <c r="T49" s="35">
        <f t="shared" si="48"/>
        <v>200</v>
      </c>
      <c r="U49" s="35">
        <f t="shared" si="48"/>
        <v>40</v>
      </c>
      <c r="V49" s="42">
        <v>10</v>
      </c>
      <c r="W49" s="42">
        <v>1024</v>
      </c>
      <c r="X49" s="42">
        <v>0</v>
      </c>
      <c r="Y49" s="42">
        <v>0</v>
      </c>
    </row>
    <row r="50" spans="1:25" ht="15" x14ac:dyDescent="0.15">
      <c r="A50" s="27" t="s">
        <v>261</v>
      </c>
      <c r="B50" s="11" t="s">
        <v>152</v>
      </c>
      <c r="C50" s="12" t="s">
        <v>353</v>
      </c>
      <c r="D50" s="7"/>
      <c r="E50" s="7"/>
      <c r="F50" s="33">
        <v>500</v>
      </c>
      <c r="G50" s="33"/>
      <c r="H50" s="33"/>
      <c r="I50" s="33">
        <v>500</v>
      </c>
      <c r="J50" s="46">
        <v>0</v>
      </c>
      <c r="K50" s="34"/>
      <c r="L50" s="39">
        <v>25000000</v>
      </c>
      <c r="M50" s="39">
        <v>135</v>
      </c>
      <c r="N50" s="39">
        <v>50000000</v>
      </c>
      <c r="O50" s="39">
        <f t="shared" si="46"/>
        <v>3000</v>
      </c>
      <c r="P50" s="35">
        <f t="shared" si="47"/>
        <v>370</v>
      </c>
      <c r="Q50" s="36">
        <v>0.75</v>
      </c>
      <c r="R50" s="35">
        <f t="shared" si="48"/>
        <v>800</v>
      </c>
      <c r="S50" s="35">
        <f t="shared" si="48"/>
        <v>10</v>
      </c>
      <c r="T50" s="35">
        <f t="shared" si="48"/>
        <v>200</v>
      </c>
      <c r="U50" s="35">
        <f t="shared" si="48"/>
        <v>50</v>
      </c>
      <c r="V50" s="42">
        <v>10</v>
      </c>
      <c r="W50" s="42">
        <v>1536</v>
      </c>
      <c r="X50" s="42">
        <v>0</v>
      </c>
      <c r="Y50" s="42">
        <v>0</v>
      </c>
    </row>
    <row r="51" spans="1:25" ht="15" x14ac:dyDescent="0.15">
      <c r="A51" s="27" t="s">
        <v>262</v>
      </c>
      <c r="B51" s="11" t="s">
        <v>153</v>
      </c>
      <c r="C51" s="12" t="s">
        <v>353</v>
      </c>
      <c r="D51" s="7"/>
      <c r="E51" s="7"/>
      <c r="F51" s="33">
        <v>500</v>
      </c>
      <c r="G51" s="33"/>
      <c r="H51" s="33"/>
      <c r="I51" s="33">
        <v>500</v>
      </c>
      <c r="J51" s="46">
        <v>0</v>
      </c>
      <c r="K51" s="34"/>
      <c r="L51" s="39">
        <f t="shared" ref="L51" si="49">L50*1.25</f>
        <v>31250000</v>
      </c>
      <c r="M51" s="39">
        <v>168.75</v>
      </c>
      <c r="N51" s="39">
        <f t="shared" ref="N51" si="50">N50*1.25</f>
        <v>62500000</v>
      </c>
      <c r="O51" s="39">
        <f t="shared" si="46"/>
        <v>30000</v>
      </c>
      <c r="P51" s="35">
        <f t="shared" si="47"/>
        <v>375</v>
      </c>
      <c r="Q51" s="36">
        <v>0.75</v>
      </c>
      <c r="R51" s="35">
        <f t="shared" si="48"/>
        <v>1600</v>
      </c>
      <c r="S51" s="35">
        <f t="shared" si="48"/>
        <v>100</v>
      </c>
      <c r="T51" s="35">
        <f t="shared" si="48"/>
        <v>200</v>
      </c>
      <c r="U51" s="35">
        <f t="shared" si="48"/>
        <v>60</v>
      </c>
      <c r="V51" s="42">
        <v>10</v>
      </c>
      <c r="W51" s="42">
        <v>1536</v>
      </c>
      <c r="X51" s="42">
        <v>0</v>
      </c>
      <c r="Y51" s="42">
        <v>0</v>
      </c>
    </row>
    <row r="52" spans="1:25" ht="15" x14ac:dyDescent="0.15">
      <c r="A52" s="27" t="s">
        <v>263</v>
      </c>
      <c r="B52" s="11" t="s">
        <v>154</v>
      </c>
      <c r="C52" s="12" t="s">
        <v>353</v>
      </c>
      <c r="D52" s="7"/>
      <c r="E52" s="7"/>
      <c r="F52" s="33">
        <v>500</v>
      </c>
      <c r="G52" s="33"/>
      <c r="H52" s="33"/>
      <c r="I52" s="33">
        <v>500</v>
      </c>
      <c r="J52" s="46">
        <v>0</v>
      </c>
      <c r="K52" s="34"/>
      <c r="L52" s="39">
        <f>L51*2</f>
        <v>62500000</v>
      </c>
      <c r="M52" s="39">
        <v>337.5</v>
      </c>
      <c r="N52" s="39">
        <f t="shared" ref="N52" si="51">N51*2</f>
        <v>125000000</v>
      </c>
      <c r="O52" s="39">
        <f t="shared" si="46"/>
        <v>30000</v>
      </c>
      <c r="P52" s="35">
        <f t="shared" si="47"/>
        <v>380</v>
      </c>
      <c r="Q52" s="36">
        <v>0.75</v>
      </c>
      <c r="R52" s="35">
        <f t="shared" si="48"/>
        <v>2400</v>
      </c>
      <c r="S52" s="35">
        <f t="shared" si="48"/>
        <v>100</v>
      </c>
      <c r="T52" s="35">
        <f t="shared" si="48"/>
        <v>200</v>
      </c>
      <c r="U52" s="35">
        <f t="shared" si="48"/>
        <v>70</v>
      </c>
      <c r="V52" s="42">
        <v>10</v>
      </c>
      <c r="W52" s="42">
        <v>2048</v>
      </c>
      <c r="X52" s="42">
        <v>0</v>
      </c>
      <c r="Y52" s="42">
        <v>0</v>
      </c>
    </row>
    <row r="53" spans="1:25" ht="15" x14ac:dyDescent="0.15">
      <c r="A53" s="27" t="s">
        <v>264</v>
      </c>
      <c r="B53" s="11" t="s">
        <v>155</v>
      </c>
      <c r="C53" s="12" t="s">
        <v>353</v>
      </c>
      <c r="D53" s="7"/>
      <c r="E53" s="7"/>
      <c r="F53" s="33">
        <v>500</v>
      </c>
      <c r="G53" s="33"/>
      <c r="H53" s="33"/>
      <c r="I53" s="33">
        <v>500</v>
      </c>
      <c r="J53" s="46">
        <v>0</v>
      </c>
      <c r="K53" s="34"/>
      <c r="L53" s="39">
        <f>L52*1.25</f>
        <v>78125000</v>
      </c>
      <c r="M53" s="39">
        <v>421.875</v>
      </c>
      <c r="N53" s="39">
        <f t="shared" ref="N53" si="52">N52*1.25</f>
        <v>156250000</v>
      </c>
      <c r="O53" s="39">
        <f t="shared" si="46"/>
        <v>30000</v>
      </c>
      <c r="P53" s="35">
        <f t="shared" si="47"/>
        <v>385</v>
      </c>
      <c r="Q53" s="36">
        <v>0.75</v>
      </c>
      <c r="R53" s="35">
        <f t="shared" si="48"/>
        <v>3600</v>
      </c>
      <c r="S53" s="35">
        <f t="shared" si="48"/>
        <v>100</v>
      </c>
      <c r="T53" s="35">
        <f t="shared" si="48"/>
        <v>200</v>
      </c>
      <c r="U53" s="35">
        <f t="shared" si="48"/>
        <v>80</v>
      </c>
      <c r="V53" s="42">
        <v>10</v>
      </c>
      <c r="W53" s="42">
        <v>2048</v>
      </c>
      <c r="X53" s="42">
        <v>0</v>
      </c>
      <c r="Y53" s="42">
        <v>0</v>
      </c>
    </row>
    <row r="54" spans="1:25" ht="15" x14ac:dyDescent="0.15">
      <c r="A54" s="27" t="s">
        <v>265</v>
      </c>
      <c r="B54" s="11" t="s">
        <v>156</v>
      </c>
      <c r="C54" s="12" t="s">
        <v>353</v>
      </c>
      <c r="D54" s="7"/>
      <c r="E54" s="7"/>
      <c r="F54" s="33">
        <v>500</v>
      </c>
      <c r="G54" s="33"/>
      <c r="H54" s="33"/>
      <c r="I54" s="33">
        <v>500</v>
      </c>
      <c r="J54" s="46">
        <v>0</v>
      </c>
      <c r="K54" s="34"/>
      <c r="L54" s="39">
        <f>L53*1.7</f>
        <v>132812500</v>
      </c>
      <c r="M54" s="39">
        <v>717.1875</v>
      </c>
      <c r="N54" s="39">
        <f t="shared" ref="N54" si="53">N53*1.7</f>
        <v>265625000</v>
      </c>
      <c r="O54" s="39">
        <f t="shared" si="46"/>
        <v>30000</v>
      </c>
      <c r="P54" s="35">
        <f t="shared" si="47"/>
        <v>390</v>
      </c>
      <c r="Q54" s="36">
        <v>0.75</v>
      </c>
      <c r="R54" s="35">
        <f t="shared" si="48"/>
        <v>5400</v>
      </c>
      <c r="S54" s="35">
        <f t="shared" si="48"/>
        <v>100</v>
      </c>
      <c r="T54" s="35">
        <f t="shared" si="48"/>
        <v>200</v>
      </c>
      <c r="U54" s="35">
        <f t="shared" si="48"/>
        <v>90</v>
      </c>
      <c r="V54" s="42">
        <v>10</v>
      </c>
      <c r="W54" s="42">
        <v>2560</v>
      </c>
      <c r="X54" s="42">
        <v>0</v>
      </c>
      <c r="Y54" s="42">
        <v>0</v>
      </c>
    </row>
    <row r="55" spans="1:25" ht="15" x14ac:dyDescent="0.15">
      <c r="A55" s="27" t="s">
        <v>266</v>
      </c>
      <c r="B55" s="11" t="s">
        <v>157</v>
      </c>
      <c r="C55" s="12" t="s">
        <v>353</v>
      </c>
      <c r="D55" s="7"/>
      <c r="E55" s="7"/>
      <c r="F55" s="33">
        <v>500</v>
      </c>
      <c r="G55" s="33"/>
      <c r="H55" s="33"/>
      <c r="I55" s="33">
        <v>500</v>
      </c>
      <c r="J55" s="46">
        <v>0</v>
      </c>
      <c r="K55" s="34"/>
      <c r="L55" s="39">
        <f>L54*1.25</f>
        <v>166015625</v>
      </c>
      <c r="M55" s="39">
        <v>896.484375</v>
      </c>
      <c r="N55" s="39">
        <f t="shared" ref="N55" si="54">N54*1.25</f>
        <v>332031250</v>
      </c>
      <c r="O55" s="39">
        <f t="shared" si="46"/>
        <v>30000</v>
      </c>
      <c r="P55" s="35">
        <f t="shared" si="47"/>
        <v>395</v>
      </c>
      <c r="Q55" s="36">
        <v>0.75</v>
      </c>
      <c r="R55" s="35">
        <f t="shared" si="48"/>
        <v>7020</v>
      </c>
      <c r="S55" s="35">
        <f t="shared" si="48"/>
        <v>100</v>
      </c>
      <c r="T55" s="35">
        <f t="shared" si="48"/>
        <v>200</v>
      </c>
      <c r="U55" s="35">
        <f t="shared" si="48"/>
        <v>100</v>
      </c>
      <c r="V55" s="42">
        <v>10</v>
      </c>
      <c r="W55" s="42">
        <v>2560</v>
      </c>
      <c r="X55" s="42">
        <v>0</v>
      </c>
      <c r="Y55" s="42">
        <v>0</v>
      </c>
    </row>
    <row r="56" spans="1:25" ht="14.25" customHeight="1" x14ac:dyDescent="0.15">
      <c r="A56" s="27" t="s">
        <v>267</v>
      </c>
      <c r="B56" s="11" t="s">
        <v>158</v>
      </c>
      <c r="C56" s="12" t="s">
        <v>353</v>
      </c>
      <c r="D56" s="7"/>
      <c r="E56" s="7"/>
      <c r="F56" s="33">
        <v>500</v>
      </c>
      <c r="G56" s="33"/>
      <c r="H56" s="33"/>
      <c r="I56" s="33">
        <v>500</v>
      </c>
      <c r="J56" s="46">
        <v>0</v>
      </c>
      <c r="K56" s="34"/>
      <c r="L56" s="39">
        <f>L55*1.5</f>
        <v>249023437.5</v>
      </c>
      <c r="M56" s="39">
        <v>1344.7265625</v>
      </c>
      <c r="N56" s="39">
        <f t="shared" ref="N56" si="55">N55*1.5</f>
        <v>498046875</v>
      </c>
      <c r="O56" s="39">
        <f t="shared" si="46"/>
        <v>30000</v>
      </c>
      <c r="P56" s="35">
        <f t="shared" si="47"/>
        <v>400</v>
      </c>
      <c r="Q56" s="36">
        <v>0.75</v>
      </c>
      <c r="R56" s="35">
        <f t="shared" si="48"/>
        <v>9126</v>
      </c>
      <c r="S56" s="35">
        <f t="shared" si="48"/>
        <v>100</v>
      </c>
      <c r="T56" s="35">
        <f t="shared" si="48"/>
        <v>200</v>
      </c>
      <c r="U56" s="35">
        <f t="shared" si="48"/>
        <v>110</v>
      </c>
      <c r="V56" s="42">
        <v>10</v>
      </c>
      <c r="W56" s="42">
        <v>3072</v>
      </c>
      <c r="X56" s="42">
        <v>0</v>
      </c>
      <c r="Y56" s="42">
        <v>0</v>
      </c>
    </row>
    <row r="57" spans="1:25" ht="15" x14ac:dyDescent="0.15">
      <c r="A57" s="27" t="s">
        <v>268</v>
      </c>
      <c r="B57" s="11" t="s">
        <v>159</v>
      </c>
      <c r="C57" s="12" t="s">
        <v>353</v>
      </c>
      <c r="D57" s="7"/>
      <c r="E57" s="7"/>
      <c r="F57" s="33">
        <v>500</v>
      </c>
      <c r="G57" s="33"/>
      <c r="H57" s="33"/>
      <c r="I57" s="33">
        <v>500</v>
      </c>
      <c r="J57" s="46">
        <v>0</v>
      </c>
      <c r="K57" s="34"/>
      <c r="L57" s="39">
        <f>L56*1.1</f>
        <v>273925781.25</v>
      </c>
      <c r="M57" s="39">
        <v>1479.1992187500002</v>
      </c>
      <c r="N57" s="39">
        <f t="shared" ref="N57" si="56">N56*1.1</f>
        <v>547851562.5</v>
      </c>
      <c r="O57" s="39">
        <f t="shared" si="46"/>
        <v>30000</v>
      </c>
      <c r="P57" s="35">
        <f t="shared" si="47"/>
        <v>405</v>
      </c>
      <c r="Q57" s="36">
        <v>0.75</v>
      </c>
      <c r="R57" s="35">
        <f t="shared" si="48"/>
        <v>11863.800000000001</v>
      </c>
      <c r="S57" s="35">
        <f t="shared" si="48"/>
        <v>100</v>
      </c>
      <c r="T57" s="35">
        <f t="shared" si="48"/>
        <v>200</v>
      </c>
      <c r="U57" s="35">
        <f t="shared" si="48"/>
        <v>120</v>
      </c>
      <c r="V57" s="42">
        <v>10</v>
      </c>
      <c r="W57" s="42">
        <v>3072</v>
      </c>
      <c r="X57" s="42">
        <v>0</v>
      </c>
      <c r="Y57" s="42">
        <v>0</v>
      </c>
    </row>
    <row r="58" spans="1:25" ht="15" x14ac:dyDescent="0.15">
      <c r="A58" s="27" t="s">
        <v>269</v>
      </c>
      <c r="B58" s="11" t="s">
        <v>160</v>
      </c>
      <c r="C58" s="12" t="s">
        <v>353</v>
      </c>
      <c r="D58" s="7"/>
      <c r="E58" s="7"/>
      <c r="F58" s="33">
        <v>500</v>
      </c>
      <c r="G58" s="33"/>
      <c r="H58" s="33"/>
      <c r="I58" s="33">
        <v>500</v>
      </c>
      <c r="J58" s="46">
        <v>0</v>
      </c>
      <c r="K58" s="34"/>
      <c r="L58" s="39">
        <f>L57*1.4</f>
        <v>383496093.75</v>
      </c>
      <c r="M58" s="39">
        <v>2070.87890625</v>
      </c>
      <c r="N58" s="39">
        <f t="shared" ref="N58" si="57">N57*1.4</f>
        <v>766992187.5</v>
      </c>
      <c r="O58" s="39">
        <f t="shared" si="46"/>
        <v>30000</v>
      </c>
      <c r="P58" s="35">
        <f t="shared" si="47"/>
        <v>410</v>
      </c>
      <c r="Q58" s="36">
        <v>0.75</v>
      </c>
      <c r="R58" s="35">
        <f t="shared" si="48"/>
        <v>14236.560000000001</v>
      </c>
      <c r="S58" s="35">
        <f t="shared" si="48"/>
        <v>100</v>
      </c>
      <c r="T58" s="35">
        <f t="shared" si="48"/>
        <v>200</v>
      </c>
      <c r="U58" s="35">
        <f t="shared" si="48"/>
        <v>130</v>
      </c>
      <c r="V58" s="42">
        <v>10</v>
      </c>
      <c r="W58" s="42">
        <v>3584</v>
      </c>
      <c r="X58" s="42">
        <v>0</v>
      </c>
      <c r="Y58" s="42">
        <v>0</v>
      </c>
    </row>
    <row r="59" spans="1:25" ht="15" x14ac:dyDescent="0.15">
      <c r="A59" s="27" t="s">
        <v>270</v>
      </c>
      <c r="B59" s="11" t="s">
        <v>161</v>
      </c>
      <c r="C59" s="12" t="s">
        <v>353</v>
      </c>
      <c r="D59" s="7"/>
      <c r="E59" s="7"/>
      <c r="F59" s="33">
        <v>500</v>
      </c>
      <c r="G59" s="33"/>
      <c r="H59" s="33"/>
      <c r="I59" s="33">
        <v>500</v>
      </c>
      <c r="J59" s="46">
        <v>0</v>
      </c>
      <c r="K59" s="34"/>
      <c r="L59" s="39">
        <f>L58*1.1</f>
        <v>421845703.12500006</v>
      </c>
      <c r="M59" s="39">
        <v>2277.966796875</v>
      </c>
      <c r="N59" s="39">
        <f t="shared" ref="N59" si="58">N58*1.1</f>
        <v>843691406.25000012</v>
      </c>
      <c r="O59" s="39">
        <f t="shared" si="46"/>
        <v>30000</v>
      </c>
      <c r="P59" s="35">
        <f t="shared" si="47"/>
        <v>415</v>
      </c>
      <c r="Q59" s="36">
        <v>0.75</v>
      </c>
      <c r="R59" s="35">
        <f t="shared" si="48"/>
        <v>17083.871999999999</v>
      </c>
      <c r="S59" s="35">
        <f t="shared" si="48"/>
        <v>100</v>
      </c>
      <c r="T59" s="35">
        <f t="shared" si="48"/>
        <v>200</v>
      </c>
      <c r="U59" s="35">
        <f t="shared" si="48"/>
        <v>140</v>
      </c>
      <c r="V59" s="42">
        <v>10</v>
      </c>
      <c r="W59" s="42">
        <v>3584</v>
      </c>
      <c r="X59" s="42">
        <v>0</v>
      </c>
      <c r="Y59" s="42">
        <v>0</v>
      </c>
    </row>
    <row r="60" spans="1:25" ht="15" x14ac:dyDescent="0.15">
      <c r="A60" s="27" t="s">
        <v>271</v>
      </c>
      <c r="B60" s="11" t="s">
        <v>162</v>
      </c>
      <c r="C60" s="12" t="s">
        <v>353</v>
      </c>
      <c r="D60" s="7"/>
      <c r="E60" s="7"/>
      <c r="F60" s="33">
        <v>500</v>
      </c>
      <c r="G60" s="33"/>
      <c r="H60" s="33"/>
      <c r="I60" s="33">
        <v>500</v>
      </c>
      <c r="J60" s="46">
        <v>0</v>
      </c>
      <c r="K60" s="34"/>
      <c r="L60" s="39">
        <f>L59*1.3</f>
        <v>548399414.06250012</v>
      </c>
      <c r="M60" s="39">
        <v>2961.3568359374999</v>
      </c>
      <c r="N60" s="39">
        <f t="shared" ref="N60" si="59">N59*1.3</f>
        <v>1096798828.1250002</v>
      </c>
      <c r="O60" s="39">
        <f t="shared" si="46"/>
        <v>30000</v>
      </c>
      <c r="P60" s="35">
        <f t="shared" si="47"/>
        <v>420</v>
      </c>
      <c r="Q60" s="36">
        <v>0.75</v>
      </c>
      <c r="R60" s="35">
        <f t="shared" si="48"/>
        <v>20500.646400000001</v>
      </c>
      <c r="S60" s="35">
        <f t="shared" si="48"/>
        <v>100</v>
      </c>
      <c r="T60" s="35">
        <f t="shared" si="48"/>
        <v>200</v>
      </c>
      <c r="U60" s="35">
        <f t="shared" si="48"/>
        <v>150</v>
      </c>
      <c r="V60" s="42">
        <v>10</v>
      </c>
      <c r="W60" s="42">
        <v>4096</v>
      </c>
      <c r="X60" s="42">
        <v>0</v>
      </c>
      <c r="Y60" s="42">
        <v>0</v>
      </c>
    </row>
    <row r="61" spans="1:25" ht="15" x14ac:dyDescent="0.15">
      <c r="A61" s="27" t="s">
        <v>272</v>
      </c>
      <c r="B61" s="11" t="s">
        <v>163</v>
      </c>
      <c r="C61" s="12" t="s">
        <v>353</v>
      </c>
      <c r="D61" s="7"/>
      <c r="E61" s="7"/>
      <c r="F61" s="33">
        <v>500</v>
      </c>
      <c r="G61" s="33"/>
      <c r="H61" s="33"/>
      <c r="I61" s="33">
        <v>500</v>
      </c>
      <c r="J61" s="46">
        <v>0</v>
      </c>
      <c r="K61" s="34"/>
      <c r="L61" s="39">
        <f>L60*1.1</f>
        <v>603239355.46875024</v>
      </c>
      <c r="M61" s="39">
        <v>3257.4925195312503</v>
      </c>
      <c r="N61" s="39">
        <f t="shared" ref="N61" si="60">N60*1.1</f>
        <v>1206478710.9375005</v>
      </c>
      <c r="O61" s="39">
        <f t="shared" si="46"/>
        <v>30000</v>
      </c>
      <c r="P61" s="35">
        <f t="shared" si="47"/>
        <v>425</v>
      </c>
      <c r="Q61" s="36">
        <v>0.75</v>
      </c>
      <c r="R61" s="35">
        <f t="shared" si="48"/>
        <v>22550.711040000002</v>
      </c>
      <c r="S61" s="35">
        <f t="shared" si="48"/>
        <v>100</v>
      </c>
      <c r="T61" s="35">
        <f t="shared" si="48"/>
        <v>200</v>
      </c>
      <c r="U61" s="35">
        <f t="shared" si="48"/>
        <v>160</v>
      </c>
      <c r="V61" s="42">
        <v>10</v>
      </c>
      <c r="W61" s="42">
        <v>4096</v>
      </c>
      <c r="X61" s="42">
        <v>0</v>
      </c>
      <c r="Y61" s="42">
        <v>0</v>
      </c>
    </row>
    <row r="62" spans="1:25" ht="15" x14ac:dyDescent="0.15">
      <c r="A62" s="27" t="s">
        <v>273</v>
      </c>
      <c r="B62" s="11" t="s">
        <v>164</v>
      </c>
      <c r="C62" s="12" t="s">
        <v>353</v>
      </c>
      <c r="D62" s="7"/>
      <c r="E62" s="7"/>
      <c r="F62" s="33">
        <v>500</v>
      </c>
      <c r="G62" s="33"/>
      <c r="H62" s="33"/>
      <c r="I62" s="33">
        <v>500</v>
      </c>
      <c r="J62" s="46">
        <v>0</v>
      </c>
      <c r="K62" s="34"/>
      <c r="L62" s="39">
        <f>L61*1.3</f>
        <v>784211162.10937536</v>
      </c>
      <c r="M62" s="39">
        <v>4234.7402753906254</v>
      </c>
      <c r="N62" s="39">
        <f t="shared" ref="N62" si="61">N61*1.3</f>
        <v>1568422324.2187507</v>
      </c>
      <c r="O62" s="39">
        <f t="shared" si="46"/>
        <v>30000</v>
      </c>
      <c r="P62" s="35">
        <f t="shared" si="47"/>
        <v>430</v>
      </c>
      <c r="Q62" s="36">
        <v>0.75</v>
      </c>
      <c r="R62" s="35">
        <f t="shared" si="48"/>
        <v>24805.782144000004</v>
      </c>
      <c r="S62" s="35">
        <f t="shared" si="48"/>
        <v>100</v>
      </c>
      <c r="T62" s="35">
        <f t="shared" si="48"/>
        <v>200</v>
      </c>
      <c r="U62" s="35">
        <f t="shared" si="48"/>
        <v>170</v>
      </c>
      <c r="V62" s="42">
        <v>10</v>
      </c>
      <c r="W62" s="42">
        <v>4608</v>
      </c>
      <c r="X62" s="42">
        <v>0</v>
      </c>
      <c r="Y62" s="42">
        <v>0</v>
      </c>
    </row>
    <row r="63" spans="1:25" ht="15" x14ac:dyDescent="0.15">
      <c r="A63" s="27" t="s">
        <v>274</v>
      </c>
      <c r="B63" s="11" t="s">
        <v>165</v>
      </c>
      <c r="C63" s="12" t="s">
        <v>353</v>
      </c>
      <c r="D63" s="7"/>
      <c r="E63" s="7"/>
      <c r="F63" s="33">
        <v>500</v>
      </c>
      <c r="G63" s="33"/>
      <c r="H63" s="33"/>
      <c r="I63" s="33">
        <v>500</v>
      </c>
      <c r="J63" s="46">
        <v>0</v>
      </c>
      <c r="K63" s="34"/>
      <c r="L63" s="39">
        <f>L62*1.1</f>
        <v>862632278.32031298</v>
      </c>
      <c r="M63" s="39">
        <v>4658.2143029296876</v>
      </c>
      <c r="N63" s="39">
        <f t="shared" ref="N63" si="62">N62*1.1</f>
        <v>1725264556.640626</v>
      </c>
      <c r="O63" s="39">
        <f t="shared" ref="L63:O70" si="63">O21*3</f>
        <v>30000</v>
      </c>
      <c r="P63" s="35">
        <f t="shared" si="47"/>
        <v>435</v>
      </c>
      <c r="Q63" s="36">
        <v>0.75</v>
      </c>
      <c r="R63" s="35">
        <f t="shared" ref="R63:U70" si="64">R21</f>
        <v>27286.360358400005</v>
      </c>
      <c r="S63" s="35">
        <f t="shared" si="64"/>
        <v>100</v>
      </c>
      <c r="T63" s="35">
        <f t="shared" si="64"/>
        <v>200</v>
      </c>
      <c r="U63" s="35">
        <f t="shared" si="64"/>
        <v>180</v>
      </c>
      <c r="V63" s="42">
        <v>10</v>
      </c>
      <c r="W63" s="42">
        <v>4608</v>
      </c>
      <c r="X63" s="42">
        <v>0</v>
      </c>
      <c r="Y63" s="42">
        <v>0</v>
      </c>
    </row>
    <row r="64" spans="1:25" ht="15" x14ac:dyDescent="0.15">
      <c r="A64" s="27" t="s">
        <v>275</v>
      </c>
      <c r="B64" s="11" t="s">
        <v>166</v>
      </c>
      <c r="C64" s="12" t="s">
        <v>353</v>
      </c>
      <c r="D64" s="7"/>
      <c r="E64" s="7"/>
      <c r="F64" s="33">
        <v>500</v>
      </c>
      <c r="G64" s="33"/>
      <c r="H64" s="33"/>
      <c r="I64" s="33">
        <v>500</v>
      </c>
      <c r="J64" s="46">
        <v>0</v>
      </c>
      <c r="K64" s="34"/>
      <c r="L64" s="39">
        <f>L63*1.2</f>
        <v>1035158733.9843755</v>
      </c>
      <c r="M64" s="39">
        <v>5589.857163515625</v>
      </c>
      <c r="N64" s="39">
        <f t="shared" ref="N64" si="65">N63*1.2</f>
        <v>2070317467.968751</v>
      </c>
      <c r="O64" s="39">
        <f t="shared" si="63"/>
        <v>30000</v>
      </c>
      <c r="P64" s="35">
        <f t="shared" si="47"/>
        <v>440</v>
      </c>
      <c r="Q64" s="36">
        <v>0.75</v>
      </c>
      <c r="R64" s="35">
        <f t="shared" si="64"/>
        <v>30014.99639424001</v>
      </c>
      <c r="S64" s="35">
        <f t="shared" si="64"/>
        <v>100</v>
      </c>
      <c r="T64" s="35">
        <f t="shared" si="64"/>
        <v>200</v>
      </c>
      <c r="U64" s="35">
        <f t="shared" si="64"/>
        <v>190</v>
      </c>
      <c r="V64" s="42">
        <v>10</v>
      </c>
      <c r="W64" s="42">
        <v>5120</v>
      </c>
      <c r="X64" s="42">
        <v>20</v>
      </c>
      <c r="Y64" s="42">
        <v>500</v>
      </c>
    </row>
    <row r="65" spans="1:25" ht="15" x14ac:dyDescent="0.15">
      <c r="A65" s="27" t="s">
        <v>276</v>
      </c>
      <c r="B65" s="11" t="s">
        <v>167</v>
      </c>
      <c r="C65" s="12" t="s">
        <v>353</v>
      </c>
      <c r="D65" s="7"/>
      <c r="E65" s="7"/>
      <c r="F65" s="33">
        <v>500</v>
      </c>
      <c r="G65" s="33"/>
      <c r="H65" s="33"/>
      <c r="I65" s="33">
        <v>500</v>
      </c>
      <c r="J65" s="46">
        <v>0</v>
      </c>
      <c r="K65" s="34"/>
      <c r="L65" s="39">
        <f>L64*1.1</f>
        <v>1138674607.3828132</v>
      </c>
      <c r="M65" s="39">
        <v>6148.8428798671885</v>
      </c>
      <c r="N65" s="39">
        <f t="shared" ref="N65" si="66">N64*1.1</f>
        <v>2277349214.7656264</v>
      </c>
      <c r="O65" s="39">
        <f t="shared" si="63"/>
        <v>30000</v>
      </c>
      <c r="P65" s="35">
        <f t="shared" si="47"/>
        <v>445</v>
      </c>
      <c r="Q65" s="36">
        <v>0.75</v>
      </c>
      <c r="R65" s="35">
        <f t="shared" si="64"/>
        <v>33016.496033664014</v>
      </c>
      <c r="S65" s="35">
        <f t="shared" si="64"/>
        <v>100</v>
      </c>
      <c r="T65" s="35">
        <f t="shared" si="64"/>
        <v>200</v>
      </c>
      <c r="U65" s="35">
        <f t="shared" si="64"/>
        <v>200</v>
      </c>
      <c r="V65" s="42">
        <v>10</v>
      </c>
      <c r="W65" s="42">
        <v>5120</v>
      </c>
      <c r="X65" s="42">
        <v>20</v>
      </c>
      <c r="Y65" s="42">
        <v>500</v>
      </c>
    </row>
    <row r="66" spans="1:25" ht="15" x14ac:dyDescent="0.15">
      <c r="A66" s="27" t="s">
        <v>277</v>
      </c>
      <c r="B66" s="11" t="s">
        <v>168</v>
      </c>
      <c r="C66" s="12" t="s">
        <v>353</v>
      </c>
      <c r="D66" s="7"/>
      <c r="E66" s="7"/>
      <c r="F66" s="33">
        <v>500</v>
      </c>
      <c r="G66" s="33"/>
      <c r="H66" s="33"/>
      <c r="I66" s="33">
        <v>500</v>
      </c>
      <c r="J66" s="46">
        <v>0</v>
      </c>
      <c r="K66" s="34"/>
      <c r="L66" s="39">
        <f t="shared" si="63"/>
        <v>953535148.72012782</v>
      </c>
      <c r="M66" s="39">
        <v>19611.798643996426</v>
      </c>
      <c r="N66" s="39">
        <f t="shared" si="63"/>
        <v>1089544369.1109126</v>
      </c>
      <c r="O66" s="39">
        <f t="shared" si="63"/>
        <v>30000</v>
      </c>
      <c r="P66" s="35">
        <f t="shared" si="47"/>
        <v>450</v>
      </c>
      <c r="Q66" s="36">
        <v>0.75</v>
      </c>
      <c r="R66" s="35">
        <f t="shared" si="64"/>
        <v>36318.145637030415</v>
      </c>
      <c r="S66" s="35">
        <f t="shared" si="64"/>
        <v>100</v>
      </c>
      <c r="T66" s="35">
        <f t="shared" si="64"/>
        <v>200</v>
      </c>
      <c r="U66" s="35">
        <f t="shared" si="64"/>
        <v>210</v>
      </c>
      <c r="V66" s="42">
        <v>10</v>
      </c>
      <c r="W66" s="42">
        <v>1024</v>
      </c>
      <c r="X66" s="42">
        <v>0</v>
      </c>
      <c r="Y66" s="42">
        <v>0</v>
      </c>
    </row>
    <row r="67" spans="1:25" ht="15" x14ac:dyDescent="0.15">
      <c r="A67" s="27" t="s">
        <v>277</v>
      </c>
      <c r="B67" s="11" t="s">
        <v>169</v>
      </c>
      <c r="C67" s="12" t="s">
        <v>353</v>
      </c>
      <c r="D67" s="7"/>
      <c r="E67" s="7"/>
      <c r="F67" s="33">
        <v>500</v>
      </c>
      <c r="G67" s="33"/>
      <c r="H67" s="33"/>
      <c r="I67" s="33">
        <v>500</v>
      </c>
      <c r="J67" s="46">
        <v>0</v>
      </c>
      <c r="K67" s="34"/>
      <c r="L67" s="39">
        <f t="shared" ref="L67" si="67">L25*3</f>
        <v>1144242178.4641533</v>
      </c>
      <c r="M67" s="39">
        <v>21572.978508396071</v>
      </c>
      <c r="N67" s="39">
        <f t="shared" si="63"/>
        <v>1198498806.0220037</v>
      </c>
      <c r="O67" s="39">
        <f t="shared" si="63"/>
        <v>30000</v>
      </c>
      <c r="P67" s="35">
        <f t="shared" si="47"/>
        <v>455</v>
      </c>
      <c r="Q67" s="36">
        <v>0.75</v>
      </c>
      <c r="R67" s="35">
        <f t="shared" si="64"/>
        <v>39949.960200733462</v>
      </c>
      <c r="S67" s="35">
        <f t="shared" si="64"/>
        <v>100</v>
      </c>
      <c r="T67" s="35">
        <f t="shared" si="64"/>
        <v>200</v>
      </c>
      <c r="U67" s="35">
        <f t="shared" si="64"/>
        <v>220</v>
      </c>
      <c r="V67" s="42">
        <v>10</v>
      </c>
      <c r="W67" s="42">
        <v>1024</v>
      </c>
      <c r="X67" s="42">
        <v>20</v>
      </c>
      <c r="Y67" s="42">
        <v>500</v>
      </c>
    </row>
    <row r="68" spans="1:25" ht="15" x14ac:dyDescent="0.15">
      <c r="A68" s="27" t="s">
        <v>277</v>
      </c>
      <c r="B68" s="11" t="s">
        <v>170</v>
      </c>
      <c r="C68" s="12" t="s">
        <v>353</v>
      </c>
      <c r="D68" s="7"/>
      <c r="E68" s="7"/>
      <c r="F68" s="33">
        <v>500</v>
      </c>
      <c r="G68" s="33"/>
      <c r="H68" s="33"/>
      <c r="I68" s="33">
        <v>500</v>
      </c>
      <c r="J68" s="46">
        <v>0</v>
      </c>
      <c r="K68" s="34"/>
      <c r="L68" s="39">
        <f t="shared" ref="L68" si="68">L26*3</f>
        <v>1373090614.1569839</v>
      </c>
      <c r="M68" s="39">
        <v>23730.276359235682</v>
      </c>
      <c r="N68" s="39">
        <f t="shared" si="63"/>
        <v>1318348686.6242042</v>
      </c>
      <c r="O68" s="39">
        <f t="shared" si="63"/>
        <v>30000</v>
      </c>
      <c r="P68" s="35">
        <f t="shared" si="47"/>
        <v>460</v>
      </c>
      <c r="Q68" s="36">
        <v>0.75</v>
      </c>
      <c r="R68" s="35">
        <f t="shared" si="64"/>
        <v>43944.956220806809</v>
      </c>
      <c r="S68" s="35">
        <f t="shared" si="64"/>
        <v>100</v>
      </c>
      <c r="T68" s="35">
        <f t="shared" si="64"/>
        <v>200</v>
      </c>
      <c r="U68" s="35">
        <f t="shared" si="64"/>
        <v>230</v>
      </c>
      <c r="V68" s="42">
        <v>10</v>
      </c>
      <c r="W68" s="42">
        <v>1024</v>
      </c>
      <c r="X68" s="42">
        <v>20</v>
      </c>
      <c r="Y68" s="42">
        <v>500</v>
      </c>
    </row>
    <row r="69" spans="1:25" ht="15" x14ac:dyDescent="0.15">
      <c r="A69" s="27" t="s">
        <v>277</v>
      </c>
      <c r="B69" s="11" t="s">
        <v>171</v>
      </c>
      <c r="C69" s="12" t="s">
        <v>353</v>
      </c>
      <c r="D69" s="7"/>
      <c r="E69" s="7"/>
      <c r="F69" s="33">
        <v>500</v>
      </c>
      <c r="G69" s="33"/>
      <c r="H69" s="33"/>
      <c r="I69" s="33">
        <v>500</v>
      </c>
      <c r="J69" s="46">
        <v>0</v>
      </c>
      <c r="K69" s="34"/>
      <c r="L69" s="39">
        <f t="shared" ref="L69" si="69">L27*3</f>
        <v>1647708736.9883804</v>
      </c>
      <c r="M69" s="39">
        <v>26103.303995159251</v>
      </c>
      <c r="N69" s="39">
        <f t="shared" si="63"/>
        <v>1450183555.2866247</v>
      </c>
      <c r="O69" s="39">
        <f t="shared" si="63"/>
        <v>30000</v>
      </c>
      <c r="P69" s="35">
        <f t="shared" si="47"/>
        <v>465</v>
      </c>
      <c r="Q69" s="36">
        <v>0.75</v>
      </c>
      <c r="R69" s="35">
        <f t="shared" si="64"/>
        <v>48339.451842887494</v>
      </c>
      <c r="S69" s="35">
        <f t="shared" si="64"/>
        <v>100</v>
      </c>
      <c r="T69" s="35">
        <f t="shared" si="64"/>
        <v>200</v>
      </c>
      <c r="U69" s="35">
        <f t="shared" si="64"/>
        <v>240</v>
      </c>
      <c r="V69" s="42">
        <v>10</v>
      </c>
      <c r="W69" s="42">
        <v>1024</v>
      </c>
      <c r="X69" s="42">
        <v>20</v>
      </c>
      <c r="Y69" s="42">
        <v>500</v>
      </c>
    </row>
    <row r="70" spans="1:25" ht="15" x14ac:dyDescent="0.15">
      <c r="A70" s="27" t="s">
        <v>277</v>
      </c>
      <c r="B70" s="11" t="s">
        <v>172</v>
      </c>
      <c r="C70" s="12" t="s">
        <v>353</v>
      </c>
      <c r="D70" s="7"/>
      <c r="E70" s="7"/>
      <c r="F70" s="33">
        <v>500</v>
      </c>
      <c r="G70" s="33"/>
      <c r="H70" s="33"/>
      <c r="I70" s="33">
        <v>500</v>
      </c>
      <c r="J70" s="46">
        <v>0</v>
      </c>
      <c r="K70" s="34"/>
      <c r="L70" s="39">
        <f t="shared" ref="L70" si="70">L28*3</f>
        <v>1977250484.3860567</v>
      </c>
      <c r="M70" s="39">
        <v>28713.634394675177</v>
      </c>
      <c r="N70" s="39">
        <f t="shared" si="63"/>
        <v>1595201910.8152874</v>
      </c>
      <c r="O70" s="39">
        <f t="shared" si="63"/>
        <v>30000</v>
      </c>
      <c r="P70" s="35">
        <f t="shared" si="47"/>
        <v>470</v>
      </c>
      <c r="Q70" s="36">
        <v>0.75</v>
      </c>
      <c r="R70" s="35">
        <f t="shared" si="64"/>
        <v>53173.397027176245</v>
      </c>
      <c r="S70" s="35">
        <f t="shared" si="64"/>
        <v>100</v>
      </c>
      <c r="T70" s="35">
        <f t="shared" si="64"/>
        <v>200</v>
      </c>
      <c r="U70" s="35">
        <f t="shared" si="64"/>
        <v>250</v>
      </c>
      <c r="V70" s="42">
        <v>10</v>
      </c>
      <c r="W70" s="42">
        <v>1024</v>
      </c>
      <c r="X70" s="42">
        <v>20</v>
      </c>
      <c r="Y70" s="42">
        <v>500</v>
      </c>
    </row>
    <row r="71" spans="1:25" ht="15" x14ac:dyDescent="0.15">
      <c r="A71" s="27" t="s">
        <v>354</v>
      </c>
      <c r="B71" s="11" t="s">
        <v>173</v>
      </c>
      <c r="C71" s="12" t="s">
        <v>353</v>
      </c>
      <c r="D71" s="7"/>
      <c r="E71" s="7"/>
      <c r="F71" s="33">
        <v>500</v>
      </c>
      <c r="G71" s="33"/>
      <c r="H71" s="33"/>
      <c r="I71" s="33">
        <v>500</v>
      </c>
      <c r="J71" s="46">
        <v>0</v>
      </c>
      <c r="K71" s="34"/>
      <c r="L71" s="39">
        <v>17578125</v>
      </c>
      <c r="M71" s="39">
        <v>128.74603271484375</v>
      </c>
      <c r="N71" s="39">
        <v>35762786.865234375</v>
      </c>
      <c r="O71" s="39">
        <f>O48</f>
        <v>300</v>
      </c>
      <c r="P71" s="39">
        <f t="shared" ref="P71:U71" si="71">P48</f>
        <v>360</v>
      </c>
      <c r="Q71" s="36">
        <v>0.75</v>
      </c>
      <c r="R71" s="39">
        <f t="shared" si="71"/>
        <v>200</v>
      </c>
      <c r="S71" s="39">
        <f t="shared" si="71"/>
        <v>1</v>
      </c>
      <c r="T71" s="39">
        <f t="shared" si="71"/>
        <v>200</v>
      </c>
      <c r="U71" s="39">
        <f t="shared" si="71"/>
        <v>30</v>
      </c>
      <c r="V71" s="42">
        <v>10</v>
      </c>
      <c r="W71" s="42">
        <v>1024</v>
      </c>
      <c r="X71" s="42">
        <v>0</v>
      </c>
      <c r="Y71" s="42">
        <v>0</v>
      </c>
    </row>
    <row r="72" spans="1:25" ht="15" x14ac:dyDescent="0.15">
      <c r="A72" s="27" t="s">
        <v>279</v>
      </c>
      <c r="B72" s="11" t="s">
        <v>174</v>
      </c>
      <c r="C72" s="12" t="s">
        <v>353</v>
      </c>
      <c r="D72" s="7"/>
      <c r="E72" s="7"/>
      <c r="F72" s="33">
        <v>500</v>
      </c>
      <c r="G72" s="33"/>
      <c r="H72" s="33"/>
      <c r="I72" s="33">
        <v>500</v>
      </c>
      <c r="J72" s="46">
        <v>0</v>
      </c>
      <c r="K72" s="34"/>
      <c r="L72" s="39">
        <f>L54*0.9</f>
        <v>119531250</v>
      </c>
      <c r="M72" s="39">
        <v>645.46875</v>
      </c>
      <c r="N72" s="39">
        <f t="shared" ref="N72" si="72">N54*0.9</f>
        <v>239062500</v>
      </c>
      <c r="O72" s="39">
        <f>O51</f>
        <v>30000</v>
      </c>
      <c r="P72" s="39">
        <f t="shared" ref="P72:T72" si="73">P51</f>
        <v>375</v>
      </c>
      <c r="Q72" s="36">
        <v>0.75</v>
      </c>
      <c r="R72" s="39">
        <f t="shared" si="73"/>
        <v>1600</v>
      </c>
      <c r="S72" s="39">
        <f t="shared" si="73"/>
        <v>100</v>
      </c>
      <c r="T72" s="39">
        <f t="shared" si="73"/>
        <v>200</v>
      </c>
      <c r="U72" s="39">
        <v>100</v>
      </c>
      <c r="V72" s="42">
        <v>10</v>
      </c>
      <c r="W72" s="42">
        <v>2560</v>
      </c>
      <c r="X72" s="42">
        <v>0</v>
      </c>
      <c r="Y72" s="42">
        <v>0</v>
      </c>
    </row>
    <row r="73" spans="1:25" ht="15" x14ac:dyDescent="0.15">
      <c r="A73" s="27" t="s">
        <v>280</v>
      </c>
      <c r="B73" s="11" t="s">
        <v>175</v>
      </c>
      <c r="C73" s="12" t="s">
        <v>353</v>
      </c>
      <c r="D73" s="7"/>
      <c r="E73" s="7"/>
      <c r="F73" s="33">
        <v>500</v>
      </c>
      <c r="G73" s="33"/>
      <c r="H73" s="33"/>
      <c r="I73" s="33">
        <v>500</v>
      </c>
      <c r="J73" s="46">
        <v>0</v>
      </c>
      <c r="K73" s="34"/>
      <c r="L73" s="39">
        <f>L61*0.9</f>
        <v>542915419.92187524</v>
      </c>
      <c r="M73" s="39">
        <v>2931.7432675781251</v>
      </c>
      <c r="N73" s="39">
        <f t="shared" ref="N73" si="74">N61*0.9</f>
        <v>1085830839.8437505</v>
      </c>
      <c r="O73" s="39">
        <f>O55</f>
        <v>30000</v>
      </c>
      <c r="P73" s="39">
        <f t="shared" ref="P73:U73" si="75">P55</f>
        <v>395</v>
      </c>
      <c r="Q73" s="36">
        <v>0.75</v>
      </c>
      <c r="R73" s="39">
        <f t="shared" si="75"/>
        <v>7020</v>
      </c>
      <c r="S73" s="39">
        <f t="shared" si="75"/>
        <v>100</v>
      </c>
      <c r="T73" s="39">
        <f t="shared" si="75"/>
        <v>200</v>
      </c>
      <c r="U73" s="39">
        <f t="shared" si="75"/>
        <v>100</v>
      </c>
      <c r="V73" s="42">
        <v>10</v>
      </c>
      <c r="W73" s="42">
        <v>4096</v>
      </c>
      <c r="X73" s="42">
        <v>0</v>
      </c>
      <c r="Y73" s="42">
        <v>0</v>
      </c>
    </row>
    <row r="74" spans="1:25" ht="15" x14ac:dyDescent="0.15">
      <c r="A74" s="27" t="s">
        <v>281</v>
      </c>
      <c r="B74" s="11" t="s">
        <v>176</v>
      </c>
      <c r="C74" s="12" t="s">
        <v>353</v>
      </c>
      <c r="D74" s="7"/>
      <c r="E74" s="7"/>
      <c r="F74" s="33">
        <v>500</v>
      </c>
      <c r="G74" s="33"/>
      <c r="H74" s="33"/>
      <c r="I74" s="33">
        <v>500</v>
      </c>
      <c r="J74" s="46">
        <v>0</v>
      </c>
      <c r="K74" s="34"/>
      <c r="L74" s="39">
        <f>L65*0.9</f>
        <v>1024807146.644532</v>
      </c>
      <c r="M74" s="39">
        <v>5533.9585918804696</v>
      </c>
      <c r="N74" s="39">
        <f t="shared" ref="N74" si="76">N65*0.9</f>
        <v>2049614293.2890639</v>
      </c>
      <c r="O74" s="39">
        <f>O60*1</f>
        <v>30000</v>
      </c>
      <c r="P74" s="39">
        <f t="shared" ref="P74:U74" si="77">P60*1</f>
        <v>420</v>
      </c>
      <c r="Q74" s="36">
        <v>0.75</v>
      </c>
      <c r="R74" s="39">
        <f t="shared" si="77"/>
        <v>20500.646400000001</v>
      </c>
      <c r="S74" s="39">
        <f t="shared" si="77"/>
        <v>100</v>
      </c>
      <c r="T74" s="39">
        <f t="shared" si="77"/>
        <v>200</v>
      </c>
      <c r="U74" s="39">
        <f t="shared" si="77"/>
        <v>150</v>
      </c>
      <c r="V74" s="42">
        <v>10</v>
      </c>
      <c r="W74" s="42">
        <v>5120</v>
      </c>
      <c r="X74" s="42">
        <v>20</v>
      </c>
      <c r="Y74" s="42">
        <v>500</v>
      </c>
    </row>
    <row r="75" spans="1:25" ht="15" x14ac:dyDescent="0.15">
      <c r="A75" s="27" t="s">
        <v>282</v>
      </c>
      <c r="B75" s="11" t="s">
        <v>177</v>
      </c>
      <c r="C75" s="12" t="s">
        <v>353</v>
      </c>
      <c r="D75" s="7"/>
      <c r="E75" s="7"/>
      <c r="F75" s="33">
        <v>500</v>
      </c>
      <c r="G75" s="33"/>
      <c r="H75" s="33"/>
      <c r="I75" s="33">
        <v>500</v>
      </c>
      <c r="J75" s="46">
        <v>0</v>
      </c>
      <c r="K75" s="34"/>
      <c r="L75" s="39">
        <v>39062500</v>
      </c>
      <c r="M75" s="39">
        <v>210.9375</v>
      </c>
      <c r="N75" s="39">
        <v>78125000</v>
      </c>
      <c r="O75" s="39">
        <f>O49*1</f>
        <v>3000</v>
      </c>
      <c r="P75" s="39">
        <f t="shared" ref="P75:U75" si="78">P49*1</f>
        <v>365</v>
      </c>
      <c r="Q75" s="36">
        <v>0.75</v>
      </c>
      <c r="R75" s="39">
        <f t="shared" si="78"/>
        <v>400</v>
      </c>
      <c r="S75" s="39">
        <f t="shared" si="78"/>
        <v>10</v>
      </c>
      <c r="T75" s="39">
        <f t="shared" si="78"/>
        <v>200</v>
      </c>
      <c r="U75" s="39">
        <f t="shared" si="78"/>
        <v>40</v>
      </c>
      <c r="V75" s="42">
        <v>10</v>
      </c>
      <c r="W75" s="42">
        <v>1536</v>
      </c>
      <c r="X75" s="42">
        <v>0</v>
      </c>
      <c r="Y75" s="42">
        <v>0</v>
      </c>
    </row>
    <row r="76" spans="1:25" ht="15" x14ac:dyDescent="0.15">
      <c r="A76" s="27" t="s">
        <v>283</v>
      </c>
      <c r="B76" s="11" t="s">
        <v>178</v>
      </c>
      <c r="C76" s="12" t="s">
        <v>353</v>
      </c>
      <c r="D76" s="7"/>
      <c r="E76" s="7"/>
      <c r="F76" s="33">
        <v>500</v>
      </c>
      <c r="G76" s="33"/>
      <c r="H76" s="33"/>
      <c r="I76" s="33">
        <v>500</v>
      </c>
      <c r="J76" s="46">
        <v>0</v>
      </c>
      <c r="K76" s="34"/>
      <c r="L76" s="39">
        <f>L55*1.1</f>
        <v>182617187.5</v>
      </c>
      <c r="M76" s="39">
        <v>986.1328125</v>
      </c>
      <c r="N76" s="39">
        <f t="shared" ref="N76" si="79">N55*1.1</f>
        <v>365234375</v>
      </c>
      <c r="O76" s="39">
        <f>O53*1</f>
        <v>30000</v>
      </c>
      <c r="P76" s="39">
        <f t="shared" ref="P76:T76" si="80">P53*1</f>
        <v>385</v>
      </c>
      <c r="Q76" s="36">
        <v>0.75</v>
      </c>
      <c r="R76" s="39">
        <f t="shared" si="80"/>
        <v>3600</v>
      </c>
      <c r="S76" s="39">
        <f t="shared" si="80"/>
        <v>100</v>
      </c>
      <c r="T76" s="39">
        <f t="shared" si="80"/>
        <v>200</v>
      </c>
      <c r="U76" s="39">
        <v>125</v>
      </c>
      <c r="V76" s="42">
        <v>10</v>
      </c>
      <c r="W76" s="42">
        <v>2816</v>
      </c>
      <c r="X76" s="42">
        <v>0</v>
      </c>
      <c r="Y76" s="42">
        <v>0</v>
      </c>
    </row>
    <row r="77" spans="1:25" ht="15" x14ac:dyDescent="0.15">
      <c r="A77" s="27" t="s">
        <v>284</v>
      </c>
      <c r="B77" s="11" t="s">
        <v>179</v>
      </c>
      <c r="C77" s="12" t="s">
        <v>353</v>
      </c>
      <c r="D77" s="7"/>
      <c r="E77" s="7"/>
      <c r="F77" s="33">
        <v>500</v>
      </c>
      <c r="G77" s="33"/>
      <c r="H77" s="33"/>
      <c r="I77" s="33">
        <v>500</v>
      </c>
      <c r="J77" s="46">
        <v>0</v>
      </c>
      <c r="K77" s="34"/>
      <c r="L77" s="39">
        <f>L63*0.9</f>
        <v>776369050.48828173</v>
      </c>
      <c r="M77" s="39">
        <v>4192.3928726367194</v>
      </c>
      <c r="N77" s="39">
        <f t="shared" ref="N77" si="81">N63*0.9</f>
        <v>1552738100.9765635</v>
      </c>
      <c r="O77" s="39">
        <f>O58</f>
        <v>30000</v>
      </c>
      <c r="P77" s="39">
        <f t="shared" ref="P77:U77" si="82">P58</f>
        <v>410</v>
      </c>
      <c r="Q77" s="36">
        <v>0.75</v>
      </c>
      <c r="R77" s="39">
        <f t="shared" si="82"/>
        <v>14236.560000000001</v>
      </c>
      <c r="S77" s="39">
        <f t="shared" si="82"/>
        <v>100</v>
      </c>
      <c r="T77" s="39">
        <f t="shared" si="82"/>
        <v>200</v>
      </c>
      <c r="U77" s="39">
        <f t="shared" si="82"/>
        <v>130</v>
      </c>
      <c r="V77" s="42">
        <v>10</v>
      </c>
      <c r="W77" s="42">
        <v>4096</v>
      </c>
      <c r="X77" s="42">
        <v>0</v>
      </c>
      <c r="Y77" s="42">
        <v>0</v>
      </c>
    </row>
    <row r="78" spans="1:25" ht="15" x14ac:dyDescent="0.15">
      <c r="A78" s="27" t="s">
        <v>285</v>
      </c>
      <c r="B78" s="11" t="s">
        <v>180</v>
      </c>
      <c r="C78" s="12" t="s">
        <v>353</v>
      </c>
      <c r="D78" s="7"/>
      <c r="E78" s="7"/>
      <c r="F78" s="33">
        <v>500</v>
      </c>
      <c r="G78" s="33"/>
      <c r="H78" s="33"/>
      <c r="I78" s="33">
        <v>500</v>
      </c>
      <c r="J78" s="46">
        <v>0</v>
      </c>
      <c r="K78" s="34"/>
      <c r="L78" s="39">
        <f>L65*1.2</f>
        <v>1366409528.8593757</v>
      </c>
      <c r="M78" s="39">
        <v>7378.6114558406252</v>
      </c>
      <c r="N78" s="39">
        <f t="shared" ref="N78" si="83">N65*1.2</f>
        <v>2732819057.7187514</v>
      </c>
      <c r="O78" s="39">
        <f>O64</f>
        <v>30000</v>
      </c>
      <c r="P78" s="39">
        <f t="shared" ref="P78:U78" si="84">P64</f>
        <v>440</v>
      </c>
      <c r="Q78" s="36">
        <v>0.75</v>
      </c>
      <c r="R78" s="39">
        <f t="shared" si="84"/>
        <v>30014.99639424001</v>
      </c>
      <c r="S78" s="39">
        <f t="shared" si="84"/>
        <v>100</v>
      </c>
      <c r="T78" s="39">
        <f t="shared" si="84"/>
        <v>200</v>
      </c>
      <c r="U78" s="39">
        <f t="shared" si="84"/>
        <v>190</v>
      </c>
      <c r="V78" s="42">
        <v>10</v>
      </c>
      <c r="W78" s="42">
        <v>6144</v>
      </c>
      <c r="X78" s="42">
        <v>20</v>
      </c>
      <c r="Y78" s="42">
        <v>500</v>
      </c>
    </row>
    <row r="79" spans="1:25" ht="15" x14ac:dyDescent="0.15">
      <c r="A79" s="27" t="s">
        <v>286</v>
      </c>
      <c r="B79" s="11" t="s">
        <v>181</v>
      </c>
      <c r="C79" s="12" t="s">
        <v>353</v>
      </c>
      <c r="D79" s="7"/>
      <c r="E79" s="7"/>
      <c r="F79" s="33">
        <v>500</v>
      </c>
      <c r="G79" s="33"/>
      <c r="H79" s="33"/>
      <c r="I79" s="33">
        <v>500</v>
      </c>
      <c r="J79" s="46">
        <v>0</v>
      </c>
      <c r="K79" s="34"/>
      <c r="L79" s="39">
        <f>L53*1.1</f>
        <v>85937500</v>
      </c>
      <c r="M79" s="39">
        <v>464.0625</v>
      </c>
      <c r="N79" s="39">
        <f t="shared" ref="N79" si="85">N53*1.1</f>
        <v>171875000</v>
      </c>
      <c r="O79" s="39">
        <f>O50*1</f>
        <v>3000</v>
      </c>
      <c r="P79" s="39">
        <f t="shared" ref="P79:T79" si="86">P50*1</f>
        <v>370</v>
      </c>
      <c r="Q79" s="36">
        <v>0.75</v>
      </c>
      <c r="R79" s="39">
        <f t="shared" si="86"/>
        <v>800</v>
      </c>
      <c r="S79" s="39">
        <f t="shared" si="86"/>
        <v>10</v>
      </c>
      <c r="T79" s="39">
        <f t="shared" si="86"/>
        <v>200</v>
      </c>
      <c r="U79" s="39">
        <v>100</v>
      </c>
      <c r="V79" s="42">
        <v>10</v>
      </c>
      <c r="W79" s="42">
        <v>2560</v>
      </c>
      <c r="X79" s="42">
        <v>0</v>
      </c>
      <c r="Y79" s="42">
        <v>0</v>
      </c>
    </row>
    <row r="80" spans="1:25" ht="15" x14ac:dyDescent="0.15">
      <c r="A80" s="27" t="s">
        <v>287</v>
      </c>
      <c r="B80" s="11" t="s">
        <v>182</v>
      </c>
      <c r="C80" s="12" t="s">
        <v>353</v>
      </c>
      <c r="D80" s="7"/>
      <c r="E80" s="7"/>
      <c r="F80" s="33">
        <v>500</v>
      </c>
      <c r="G80" s="33"/>
      <c r="H80" s="33"/>
      <c r="I80" s="33">
        <v>500</v>
      </c>
      <c r="J80" s="46">
        <v>0</v>
      </c>
      <c r="K80" s="34"/>
      <c r="L80" s="39">
        <f>L55*1.1</f>
        <v>182617187.5</v>
      </c>
      <c r="M80" s="39">
        <v>986.1328125</v>
      </c>
      <c r="N80" s="39">
        <f t="shared" ref="N80" si="87">N55*1.1</f>
        <v>365234375</v>
      </c>
      <c r="O80" s="39">
        <f>O52*1</f>
        <v>30000</v>
      </c>
      <c r="P80" s="39">
        <f t="shared" ref="P80:U88" si="88">P52*1</f>
        <v>380</v>
      </c>
      <c r="Q80" s="36">
        <v>0.75</v>
      </c>
      <c r="R80" s="39">
        <f t="shared" si="88"/>
        <v>2400</v>
      </c>
      <c r="S80" s="39">
        <f t="shared" si="88"/>
        <v>100</v>
      </c>
      <c r="T80" s="39">
        <f t="shared" si="88"/>
        <v>200</v>
      </c>
      <c r="U80" s="39">
        <v>150</v>
      </c>
      <c r="V80" s="42">
        <v>10</v>
      </c>
      <c r="W80" s="42">
        <v>3072</v>
      </c>
      <c r="X80" s="42">
        <v>0</v>
      </c>
      <c r="Y80" s="42">
        <v>0</v>
      </c>
    </row>
    <row r="81" spans="1:25" ht="15" x14ac:dyDescent="0.15">
      <c r="A81" s="27" t="s">
        <v>288</v>
      </c>
      <c r="B81" s="11" t="s">
        <v>183</v>
      </c>
      <c r="C81" s="12" t="s">
        <v>353</v>
      </c>
      <c r="D81" s="7"/>
      <c r="E81" s="7"/>
      <c r="F81" s="33">
        <v>500</v>
      </c>
      <c r="G81" s="33"/>
      <c r="H81" s="33"/>
      <c r="I81" s="33">
        <v>500</v>
      </c>
      <c r="J81" s="46">
        <v>0</v>
      </c>
      <c r="K81" s="34"/>
      <c r="L81" s="39">
        <f>L57*1.1</f>
        <v>301318359.375</v>
      </c>
      <c r="M81" s="39">
        <v>1627.1191406250005</v>
      </c>
      <c r="N81" s="39">
        <f t="shared" ref="N81" si="89">N57*1.1</f>
        <v>602636718.75</v>
      </c>
      <c r="O81" s="39">
        <f t="shared" ref="O81:O88" si="90">O53*1</f>
        <v>30000</v>
      </c>
      <c r="P81" s="39">
        <f t="shared" si="88"/>
        <v>385</v>
      </c>
      <c r="Q81" s="36">
        <v>0.75</v>
      </c>
      <c r="R81" s="39">
        <f t="shared" si="88"/>
        <v>3600</v>
      </c>
      <c r="S81" s="39">
        <f t="shared" si="88"/>
        <v>100</v>
      </c>
      <c r="T81" s="39">
        <f t="shared" si="88"/>
        <v>200</v>
      </c>
      <c r="U81" s="39">
        <f t="shared" si="88"/>
        <v>80</v>
      </c>
      <c r="V81" s="42">
        <v>10</v>
      </c>
      <c r="W81" s="42">
        <v>3584</v>
      </c>
      <c r="X81" s="42">
        <v>0</v>
      </c>
      <c r="Y81" s="42">
        <v>0</v>
      </c>
    </row>
    <row r="82" spans="1:25" ht="15" x14ac:dyDescent="0.15">
      <c r="A82" s="27" t="s">
        <v>289</v>
      </c>
      <c r="B82" s="11" t="s">
        <v>184</v>
      </c>
      <c r="C82" s="12" t="s">
        <v>353</v>
      </c>
      <c r="D82" s="7"/>
      <c r="E82" s="7"/>
      <c r="F82" s="33">
        <v>500</v>
      </c>
      <c r="G82" s="33"/>
      <c r="H82" s="33"/>
      <c r="I82" s="33">
        <v>500</v>
      </c>
      <c r="J82" s="46">
        <v>0</v>
      </c>
      <c r="K82" s="34"/>
      <c r="L82" s="39">
        <f>L59*1.1</f>
        <v>464030273.43750012</v>
      </c>
      <c r="M82" s="39">
        <v>2505.7634765625003</v>
      </c>
      <c r="N82" s="39">
        <f t="shared" ref="N82" si="91">N59*1.1</f>
        <v>928060546.87500024</v>
      </c>
      <c r="O82" s="39">
        <f t="shared" si="90"/>
        <v>30000</v>
      </c>
      <c r="P82" s="39">
        <f t="shared" si="88"/>
        <v>390</v>
      </c>
      <c r="Q82" s="36">
        <v>0.75</v>
      </c>
      <c r="R82" s="39">
        <f t="shared" si="88"/>
        <v>5400</v>
      </c>
      <c r="S82" s="39">
        <f t="shared" si="88"/>
        <v>100</v>
      </c>
      <c r="T82" s="39">
        <f t="shared" si="88"/>
        <v>200</v>
      </c>
      <c r="U82" s="39">
        <f t="shared" si="88"/>
        <v>90</v>
      </c>
      <c r="V82" s="42">
        <v>10</v>
      </c>
      <c r="W82" s="42">
        <v>4096</v>
      </c>
      <c r="X82" s="42">
        <v>0</v>
      </c>
      <c r="Y82" s="42">
        <v>0</v>
      </c>
    </row>
    <row r="83" spans="1:25" ht="15" x14ac:dyDescent="0.15">
      <c r="A83" s="27" t="s">
        <v>290</v>
      </c>
      <c r="B83" s="11" t="s">
        <v>185</v>
      </c>
      <c r="C83" s="12" t="s">
        <v>353</v>
      </c>
      <c r="D83" s="7"/>
      <c r="E83" s="7"/>
      <c r="F83" s="33">
        <v>500</v>
      </c>
      <c r="G83" s="42"/>
      <c r="H83" s="42"/>
      <c r="I83" s="33">
        <v>500</v>
      </c>
      <c r="J83" s="46">
        <v>0</v>
      </c>
      <c r="K83" s="34"/>
      <c r="L83" s="39">
        <f>L61*1.1</f>
        <v>663563291.01562536</v>
      </c>
      <c r="M83" s="39">
        <v>3583.2417714843755</v>
      </c>
      <c r="N83" s="39">
        <f t="shared" ref="N83" si="92">N61*1.1</f>
        <v>1327126582.0312507</v>
      </c>
      <c r="O83" s="39">
        <f t="shared" si="90"/>
        <v>30000</v>
      </c>
      <c r="P83" s="39">
        <f t="shared" si="88"/>
        <v>395</v>
      </c>
      <c r="Q83" s="36">
        <v>0.75</v>
      </c>
      <c r="R83" s="39">
        <f t="shared" si="88"/>
        <v>7020</v>
      </c>
      <c r="S83" s="39">
        <f t="shared" si="88"/>
        <v>100</v>
      </c>
      <c r="T83" s="39">
        <f t="shared" si="88"/>
        <v>200</v>
      </c>
      <c r="U83" s="39">
        <f t="shared" si="88"/>
        <v>100</v>
      </c>
      <c r="V83" s="42">
        <v>10</v>
      </c>
      <c r="W83" s="42">
        <v>4608</v>
      </c>
      <c r="X83" s="42">
        <v>0</v>
      </c>
      <c r="Y83" s="42">
        <v>0</v>
      </c>
    </row>
    <row r="84" spans="1:25" ht="15" x14ac:dyDescent="0.15">
      <c r="A84" s="27" t="s">
        <v>291</v>
      </c>
      <c r="B84" s="11" t="s">
        <v>186</v>
      </c>
      <c r="C84" s="12" t="s">
        <v>353</v>
      </c>
      <c r="D84" s="7"/>
      <c r="E84" s="7"/>
      <c r="F84" s="33">
        <v>500</v>
      </c>
      <c r="G84" s="42"/>
      <c r="H84" s="42"/>
      <c r="I84" s="33">
        <v>500</v>
      </c>
      <c r="J84" s="46">
        <v>0</v>
      </c>
      <c r="K84" s="34"/>
      <c r="L84" s="39">
        <f>L63*1.05</f>
        <v>905763892.23632872</v>
      </c>
      <c r="M84" s="39">
        <v>4891.1250180761726</v>
      </c>
      <c r="N84" s="39">
        <f t="shared" ref="N84" si="93">N63*1.05</f>
        <v>1811527784.4726574</v>
      </c>
      <c r="O84" s="39">
        <f t="shared" si="90"/>
        <v>30000</v>
      </c>
      <c r="P84" s="39">
        <f t="shared" si="88"/>
        <v>400</v>
      </c>
      <c r="Q84" s="36">
        <v>0.75</v>
      </c>
      <c r="R84" s="39">
        <f t="shared" si="88"/>
        <v>9126</v>
      </c>
      <c r="S84" s="39">
        <f t="shared" si="88"/>
        <v>100</v>
      </c>
      <c r="T84" s="39">
        <f t="shared" si="88"/>
        <v>200</v>
      </c>
      <c r="U84" s="39">
        <f t="shared" si="88"/>
        <v>110</v>
      </c>
      <c r="V84" s="42">
        <v>10</v>
      </c>
      <c r="W84" s="42">
        <v>5120</v>
      </c>
      <c r="X84" s="42">
        <v>0</v>
      </c>
      <c r="Y84" s="42">
        <v>0</v>
      </c>
    </row>
    <row r="85" spans="1:25" ht="15" x14ac:dyDescent="0.15">
      <c r="A85" s="27" t="s">
        <v>292</v>
      </c>
      <c r="B85" s="11" t="s">
        <v>215</v>
      </c>
      <c r="C85" s="12" t="s">
        <v>353</v>
      </c>
      <c r="D85" s="7"/>
      <c r="E85" s="7"/>
      <c r="F85" s="33">
        <v>500</v>
      </c>
      <c r="G85" s="42"/>
      <c r="H85" s="42"/>
      <c r="I85" s="33">
        <v>500</v>
      </c>
      <c r="J85" s="46">
        <v>0</v>
      </c>
      <c r="K85" s="34"/>
      <c r="L85" s="39">
        <f>L65*1.05</f>
        <v>1195608337.7519538</v>
      </c>
      <c r="M85" s="39">
        <v>6456.2850238605479</v>
      </c>
      <c r="N85" s="39">
        <f t="shared" ref="N85" si="94">N65*1.05</f>
        <v>2391216675.5039077</v>
      </c>
      <c r="O85" s="39">
        <f t="shared" si="90"/>
        <v>30000</v>
      </c>
      <c r="P85" s="39">
        <f t="shared" si="88"/>
        <v>405</v>
      </c>
      <c r="Q85" s="36">
        <v>0.75</v>
      </c>
      <c r="R85" s="39">
        <f t="shared" si="88"/>
        <v>11863.800000000001</v>
      </c>
      <c r="S85" s="39">
        <f t="shared" si="88"/>
        <v>100</v>
      </c>
      <c r="T85" s="39">
        <f t="shared" si="88"/>
        <v>200</v>
      </c>
      <c r="U85" s="39">
        <f t="shared" si="88"/>
        <v>120</v>
      </c>
      <c r="V85" s="42">
        <v>10</v>
      </c>
      <c r="W85" s="42">
        <v>5632</v>
      </c>
      <c r="X85" s="42">
        <v>20</v>
      </c>
      <c r="Y85" s="42">
        <v>500</v>
      </c>
    </row>
    <row r="86" spans="1:25" ht="15" x14ac:dyDescent="0.15">
      <c r="A86" s="27" t="s">
        <v>293</v>
      </c>
      <c r="B86" s="11" t="s">
        <v>216</v>
      </c>
      <c r="C86" s="12" t="s">
        <v>353</v>
      </c>
      <c r="D86" s="7"/>
      <c r="E86" s="7"/>
      <c r="F86" s="33">
        <v>500</v>
      </c>
      <c r="G86" s="42"/>
      <c r="H86" s="42"/>
      <c r="I86" s="33">
        <v>500</v>
      </c>
      <c r="J86" s="46">
        <v>0</v>
      </c>
      <c r="K86" s="34"/>
      <c r="L86" s="39">
        <f>L85*1.1</f>
        <v>1315169171.5271494</v>
      </c>
      <c r="M86" s="39">
        <v>7101.9135262466034</v>
      </c>
      <c r="N86" s="39">
        <f t="shared" ref="N86:N88" si="95">N85*1.1</f>
        <v>2630338343.0542989</v>
      </c>
      <c r="O86" s="39">
        <f t="shared" si="90"/>
        <v>30000</v>
      </c>
      <c r="P86" s="39">
        <f t="shared" si="88"/>
        <v>410</v>
      </c>
      <c r="Q86" s="36">
        <v>0.75</v>
      </c>
      <c r="R86" s="39">
        <f t="shared" si="88"/>
        <v>14236.560000000001</v>
      </c>
      <c r="S86" s="39">
        <f t="shared" si="88"/>
        <v>100</v>
      </c>
      <c r="T86" s="39">
        <f t="shared" si="88"/>
        <v>200</v>
      </c>
      <c r="U86" s="39">
        <f t="shared" si="88"/>
        <v>130</v>
      </c>
      <c r="V86" s="42">
        <v>10</v>
      </c>
      <c r="W86" s="42">
        <v>6144</v>
      </c>
      <c r="X86" s="42">
        <v>20</v>
      </c>
      <c r="Y86" s="42">
        <v>500</v>
      </c>
    </row>
    <row r="87" spans="1:25" ht="15" x14ac:dyDescent="0.15">
      <c r="A87" s="27" t="s">
        <v>294</v>
      </c>
      <c r="B87" s="11" t="s">
        <v>217</v>
      </c>
      <c r="C87" s="12" t="s">
        <v>353</v>
      </c>
      <c r="E87" s="15"/>
      <c r="F87" s="33">
        <v>500</v>
      </c>
      <c r="G87" s="42"/>
      <c r="H87" s="42"/>
      <c r="I87" s="33">
        <v>500</v>
      </c>
      <c r="J87" s="46">
        <v>0</v>
      </c>
      <c r="K87" s="34"/>
      <c r="L87" s="39">
        <f t="shared" ref="L87:L88" si="96">L86*1.1</f>
        <v>1446686088.6798644</v>
      </c>
      <c r="M87" s="39">
        <v>7812.1048788712642</v>
      </c>
      <c r="N87" s="39">
        <f t="shared" si="95"/>
        <v>2893372177.3597288</v>
      </c>
      <c r="O87" s="39">
        <f t="shared" si="90"/>
        <v>30000</v>
      </c>
      <c r="P87" s="39">
        <f t="shared" si="88"/>
        <v>415</v>
      </c>
      <c r="Q87" s="36">
        <v>0.75</v>
      </c>
      <c r="R87" s="39">
        <f t="shared" si="88"/>
        <v>17083.871999999999</v>
      </c>
      <c r="S87" s="39">
        <f t="shared" si="88"/>
        <v>100</v>
      </c>
      <c r="T87" s="39">
        <f t="shared" si="88"/>
        <v>200</v>
      </c>
      <c r="U87" s="39">
        <f t="shared" si="88"/>
        <v>140</v>
      </c>
      <c r="V87" s="42">
        <v>10</v>
      </c>
      <c r="W87" s="42">
        <v>6656</v>
      </c>
      <c r="X87" s="42">
        <v>20</v>
      </c>
      <c r="Y87" s="42">
        <v>500</v>
      </c>
    </row>
    <row r="88" spans="1:25" ht="15" x14ac:dyDescent="0.15">
      <c r="A88" s="27" t="s">
        <v>295</v>
      </c>
      <c r="B88" s="11" t="s">
        <v>220</v>
      </c>
      <c r="C88" s="12" t="s">
        <v>353</v>
      </c>
      <c r="E88" s="15"/>
      <c r="F88" s="33">
        <v>500</v>
      </c>
      <c r="G88" s="42"/>
      <c r="H88" s="42"/>
      <c r="I88" s="33">
        <v>500</v>
      </c>
      <c r="J88" s="46">
        <v>0</v>
      </c>
      <c r="K88" s="34"/>
      <c r="L88" s="39">
        <f t="shared" si="96"/>
        <v>1591354697.5478511</v>
      </c>
      <c r="M88" s="39">
        <v>8593.315366758392</v>
      </c>
      <c r="N88" s="39">
        <f t="shared" si="95"/>
        <v>3182709395.0957022</v>
      </c>
      <c r="O88" s="39">
        <f t="shared" si="90"/>
        <v>30000</v>
      </c>
      <c r="P88" s="39">
        <f t="shared" si="88"/>
        <v>420</v>
      </c>
      <c r="Q88" s="36">
        <v>0.75</v>
      </c>
      <c r="R88" s="39">
        <f t="shared" si="88"/>
        <v>20500.646400000001</v>
      </c>
      <c r="S88" s="39">
        <f t="shared" si="88"/>
        <v>100</v>
      </c>
      <c r="T88" s="39">
        <f t="shared" si="88"/>
        <v>200</v>
      </c>
      <c r="U88" s="39">
        <f t="shared" si="88"/>
        <v>150</v>
      </c>
      <c r="V88" s="42">
        <v>10</v>
      </c>
      <c r="W88" s="42">
        <v>7680</v>
      </c>
      <c r="X88" s="42">
        <v>20</v>
      </c>
      <c r="Y88" s="42">
        <v>500</v>
      </c>
    </row>
    <row r="89" spans="1:25" ht="15" x14ac:dyDescent="0.15">
      <c r="A89" s="27" t="s">
        <v>380</v>
      </c>
      <c r="B89" s="11" t="s">
        <v>221</v>
      </c>
      <c r="C89" s="12" t="s">
        <v>341</v>
      </c>
      <c r="E89" s="15"/>
      <c r="F89" s="33">
        <v>500</v>
      </c>
      <c r="G89" s="42"/>
      <c r="H89" s="42"/>
      <c r="I89" s="33">
        <v>500</v>
      </c>
      <c r="J89" s="49">
        <v>9.5000000000000001E-2</v>
      </c>
      <c r="K89" s="34"/>
      <c r="L89" s="39">
        <f>L93/11</f>
        <v>28762207.03125</v>
      </c>
      <c r="M89" s="39">
        <v>155.31591796875003</v>
      </c>
      <c r="N89" s="39">
        <f t="shared" ref="N89" si="97">N93/11</f>
        <v>57524414.0625</v>
      </c>
      <c r="O89" s="39">
        <f>O55*1</f>
        <v>30000</v>
      </c>
      <c r="P89" s="39">
        <f t="shared" ref="P89:X89" si="98">P55*1</f>
        <v>395</v>
      </c>
      <c r="Q89" s="39">
        <f t="shared" si="98"/>
        <v>0.75</v>
      </c>
      <c r="R89" s="39">
        <f t="shared" si="98"/>
        <v>7020</v>
      </c>
      <c r="S89" s="39">
        <f t="shared" si="98"/>
        <v>100</v>
      </c>
      <c r="T89" s="39">
        <f t="shared" si="98"/>
        <v>200</v>
      </c>
      <c r="U89" s="39">
        <f t="shared" si="98"/>
        <v>100</v>
      </c>
      <c r="V89" s="39">
        <v>10</v>
      </c>
      <c r="W89" s="39">
        <v>640</v>
      </c>
      <c r="X89" s="39">
        <f t="shared" si="98"/>
        <v>0</v>
      </c>
      <c r="Y89" s="39">
        <v>0</v>
      </c>
    </row>
    <row r="90" spans="1:25" ht="15" x14ac:dyDescent="0.15">
      <c r="A90" s="27" t="s">
        <v>382</v>
      </c>
      <c r="B90" s="11" t="s">
        <v>222</v>
      </c>
      <c r="C90" s="12" t="s">
        <v>341</v>
      </c>
      <c r="E90" s="15"/>
      <c r="F90" s="33">
        <v>500</v>
      </c>
      <c r="G90" s="42"/>
      <c r="H90" s="42"/>
      <c r="I90" s="33">
        <v>500</v>
      </c>
      <c r="J90" s="49">
        <v>9.5000000000000001E-2</v>
      </c>
      <c r="K90" s="34"/>
      <c r="L90" s="39">
        <f t="shared" ref="L90:N92" si="99">L94/11</f>
        <v>63340132.32421878</v>
      </c>
      <c r="M90" s="39">
        <v>342.03671455078131</v>
      </c>
      <c r="N90" s="39">
        <f t="shared" si="99"/>
        <v>126680264.64843756</v>
      </c>
      <c r="O90" s="39">
        <f>O59*1</f>
        <v>30000</v>
      </c>
      <c r="P90" s="39">
        <f t="shared" ref="P90:X90" si="100">P59*1</f>
        <v>415</v>
      </c>
      <c r="Q90" s="39">
        <f t="shared" si="100"/>
        <v>0.75</v>
      </c>
      <c r="R90" s="39">
        <f t="shared" si="100"/>
        <v>17083.871999999999</v>
      </c>
      <c r="S90" s="39">
        <f t="shared" si="100"/>
        <v>100</v>
      </c>
      <c r="T90" s="39">
        <f t="shared" si="100"/>
        <v>200</v>
      </c>
      <c r="U90" s="39">
        <f t="shared" si="100"/>
        <v>140</v>
      </c>
      <c r="V90" s="39">
        <v>10</v>
      </c>
      <c r="W90" s="39">
        <v>1280</v>
      </c>
      <c r="X90" s="39">
        <f t="shared" si="100"/>
        <v>0</v>
      </c>
      <c r="Y90" s="39">
        <v>0</v>
      </c>
    </row>
    <row r="91" spans="1:25" ht="15" x14ac:dyDescent="0.15">
      <c r="A91" s="27" t="s">
        <v>383</v>
      </c>
      <c r="B91" s="11" t="s">
        <v>223</v>
      </c>
      <c r="C91" s="12" t="s">
        <v>341</v>
      </c>
      <c r="E91" s="15"/>
      <c r="F91" s="33">
        <v>500</v>
      </c>
      <c r="G91" s="42"/>
      <c r="H91" s="42"/>
      <c r="I91" s="33">
        <v>500</v>
      </c>
      <c r="J91" s="49">
        <v>9.5000000000000001E-2</v>
      </c>
      <c r="K91" s="34"/>
      <c r="L91" s="39">
        <f t="shared" si="99"/>
        <v>114126250.42177743</v>
      </c>
      <c r="M91" s="39">
        <v>616.28175227759789</v>
      </c>
      <c r="N91" s="39">
        <f t="shared" si="99"/>
        <v>228252500.84355485</v>
      </c>
      <c r="O91" s="39">
        <f>O63*1</f>
        <v>30000</v>
      </c>
      <c r="P91" s="39">
        <f t="shared" ref="P91:X91" si="101">P63*1</f>
        <v>435</v>
      </c>
      <c r="Q91" s="39">
        <f t="shared" si="101"/>
        <v>0.75</v>
      </c>
      <c r="R91" s="39">
        <f t="shared" si="101"/>
        <v>27286.360358400005</v>
      </c>
      <c r="S91" s="39">
        <f t="shared" si="101"/>
        <v>100</v>
      </c>
      <c r="T91" s="39">
        <f t="shared" si="101"/>
        <v>200</v>
      </c>
      <c r="U91" s="39">
        <f t="shared" si="101"/>
        <v>180</v>
      </c>
      <c r="V91" s="39">
        <v>10</v>
      </c>
      <c r="W91" s="39">
        <v>1920</v>
      </c>
      <c r="X91" s="39">
        <f t="shared" si="101"/>
        <v>0</v>
      </c>
      <c r="Y91" s="39">
        <v>0</v>
      </c>
    </row>
    <row r="92" spans="1:25" ht="15" x14ac:dyDescent="0.15">
      <c r="A92" s="27" t="s">
        <v>384</v>
      </c>
      <c r="B92" s="11" t="s">
        <v>224</v>
      </c>
      <c r="C92" s="12" t="s">
        <v>341</v>
      </c>
      <c r="E92" s="15"/>
      <c r="F92" s="33">
        <v>500</v>
      </c>
      <c r="G92" s="42"/>
      <c r="H92" s="42"/>
      <c r="I92" s="33">
        <v>500</v>
      </c>
      <c r="J92" s="49">
        <v>9.5000000000000001E-2</v>
      </c>
      <c r="K92" s="34"/>
      <c r="L92" s="39">
        <f>L96/11</f>
        <v>138092763.0103507</v>
      </c>
      <c r="M92" s="39">
        <v>745.70092025589338</v>
      </c>
      <c r="N92" s="39">
        <f t="shared" si="99"/>
        <v>276185526.02070141</v>
      </c>
      <c r="O92" s="39">
        <f>O69*1</f>
        <v>30000</v>
      </c>
      <c r="P92" s="39">
        <f t="shared" ref="P92:U92" si="102">P69*1</f>
        <v>465</v>
      </c>
      <c r="Q92" s="39">
        <f t="shared" si="102"/>
        <v>0.75</v>
      </c>
      <c r="R92" s="39">
        <f t="shared" si="102"/>
        <v>48339.451842887494</v>
      </c>
      <c r="S92" s="39">
        <f t="shared" si="102"/>
        <v>100</v>
      </c>
      <c r="T92" s="39">
        <f t="shared" si="102"/>
        <v>200</v>
      </c>
      <c r="U92" s="39">
        <f t="shared" si="102"/>
        <v>240</v>
      </c>
      <c r="V92" s="39">
        <v>10</v>
      </c>
      <c r="W92" s="39">
        <v>2560</v>
      </c>
      <c r="X92" s="39">
        <v>0</v>
      </c>
      <c r="Y92" s="39">
        <v>0</v>
      </c>
    </row>
    <row r="93" spans="1:25" ht="15" x14ac:dyDescent="0.15">
      <c r="A93" s="27" t="s">
        <v>381</v>
      </c>
      <c r="B93" s="11" t="s">
        <v>225</v>
      </c>
      <c r="C93" s="12" t="s">
        <v>353</v>
      </c>
      <c r="E93" s="15"/>
      <c r="F93" s="33">
        <v>500</v>
      </c>
      <c r="G93" s="42"/>
      <c r="H93" s="42"/>
      <c r="I93" s="33">
        <v>500</v>
      </c>
      <c r="J93" s="46">
        <v>0</v>
      </c>
      <c r="K93" s="34"/>
      <c r="L93" s="39">
        <f>L81*1.05</f>
        <v>316384277.34375</v>
      </c>
      <c r="M93" s="39">
        <v>1708.4750976562505</v>
      </c>
      <c r="N93" s="39">
        <f t="shared" ref="N93" si="103">N81*1.05</f>
        <v>632768554.6875</v>
      </c>
      <c r="O93" s="39">
        <f>O57*1</f>
        <v>30000</v>
      </c>
      <c r="P93" s="39">
        <f t="shared" ref="P93:X93" si="104">P57*1</f>
        <v>405</v>
      </c>
      <c r="Q93" s="36">
        <v>0.75</v>
      </c>
      <c r="R93" s="39">
        <f t="shared" si="104"/>
        <v>11863.800000000001</v>
      </c>
      <c r="S93" s="39">
        <f t="shared" si="104"/>
        <v>100</v>
      </c>
      <c r="T93" s="39">
        <f t="shared" si="104"/>
        <v>200</v>
      </c>
      <c r="U93" s="39">
        <f t="shared" si="104"/>
        <v>120</v>
      </c>
      <c r="V93" s="39">
        <v>10</v>
      </c>
      <c r="W93" s="39">
        <v>3200</v>
      </c>
      <c r="X93" s="39">
        <f t="shared" si="104"/>
        <v>0</v>
      </c>
      <c r="Y93" s="39">
        <v>0</v>
      </c>
    </row>
    <row r="94" spans="1:25" ht="15" x14ac:dyDescent="0.15">
      <c r="A94" s="27" t="s">
        <v>385</v>
      </c>
      <c r="B94" s="11" t="s">
        <v>226</v>
      </c>
      <c r="C94" s="12" t="s">
        <v>353</v>
      </c>
      <c r="E94" s="15"/>
      <c r="F94" s="33">
        <v>500</v>
      </c>
      <c r="G94" s="42"/>
      <c r="H94" s="42"/>
      <c r="I94" s="33">
        <v>500</v>
      </c>
      <c r="J94" s="46">
        <v>0</v>
      </c>
      <c r="K94" s="34"/>
      <c r="L94" s="39">
        <f>L83*1.05</f>
        <v>696741455.56640661</v>
      </c>
      <c r="M94" s="39">
        <v>3762.4038600585941</v>
      </c>
      <c r="N94" s="39">
        <f t="shared" ref="N94" si="105">N83*1.05</f>
        <v>1393482911.1328132</v>
      </c>
      <c r="O94" s="39">
        <f>O61*1</f>
        <v>30000</v>
      </c>
      <c r="P94" s="39">
        <f t="shared" ref="P94:X94" si="106">P61*1</f>
        <v>425</v>
      </c>
      <c r="Q94" s="36">
        <v>0.75</v>
      </c>
      <c r="R94" s="39">
        <f t="shared" si="106"/>
        <v>22550.711040000002</v>
      </c>
      <c r="S94" s="39">
        <f t="shared" si="106"/>
        <v>100</v>
      </c>
      <c r="T94" s="39">
        <f t="shared" si="106"/>
        <v>200</v>
      </c>
      <c r="U94" s="39">
        <f t="shared" si="106"/>
        <v>160</v>
      </c>
      <c r="V94" s="39">
        <v>10</v>
      </c>
      <c r="W94" s="39">
        <v>3840</v>
      </c>
      <c r="X94" s="39">
        <f t="shared" si="106"/>
        <v>0</v>
      </c>
      <c r="Y94" s="39">
        <v>0</v>
      </c>
    </row>
    <row r="95" spans="1:25" ht="15" x14ac:dyDescent="0.15">
      <c r="A95" s="27" t="s">
        <v>386</v>
      </c>
      <c r="B95" s="11" t="s">
        <v>227</v>
      </c>
      <c r="C95" s="12" t="s">
        <v>353</v>
      </c>
      <c r="E95" s="15"/>
      <c r="F95" s="33">
        <v>500</v>
      </c>
      <c r="G95" s="42"/>
      <c r="H95" s="42"/>
      <c r="I95" s="33">
        <v>500</v>
      </c>
      <c r="J95" s="46">
        <v>0</v>
      </c>
      <c r="K95" s="34"/>
      <c r="L95" s="39">
        <f>L85*1.05</f>
        <v>1255388754.6395516</v>
      </c>
      <c r="M95" s="39">
        <v>6779.0992750535761</v>
      </c>
      <c r="N95" s="39">
        <f t="shared" ref="N95" si="107">N85*1.05</f>
        <v>2510777509.2791033</v>
      </c>
      <c r="O95" s="39">
        <f>O65*1</f>
        <v>30000</v>
      </c>
      <c r="P95" s="39">
        <f t="shared" ref="P95:U95" si="108">P65*1</f>
        <v>445</v>
      </c>
      <c r="Q95" s="36">
        <v>0.75</v>
      </c>
      <c r="R95" s="39">
        <f t="shared" si="108"/>
        <v>33016.496033664014</v>
      </c>
      <c r="S95" s="39">
        <f t="shared" si="108"/>
        <v>100</v>
      </c>
      <c r="T95" s="39">
        <f t="shared" si="108"/>
        <v>200</v>
      </c>
      <c r="U95" s="39">
        <f t="shared" si="108"/>
        <v>200</v>
      </c>
      <c r="V95" s="39">
        <v>10</v>
      </c>
      <c r="W95" s="39">
        <v>5120</v>
      </c>
      <c r="X95" s="39">
        <v>20</v>
      </c>
      <c r="Y95" s="42">
        <v>500</v>
      </c>
    </row>
    <row r="96" spans="1:25" ht="15" x14ac:dyDescent="0.15">
      <c r="A96" s="27" t="s">
        <v>387</v>
      </c>
      <c r="B96" s="11" t="s">
        <v>228</v>
      </c>
      <c r="C96" s="12" t="s">
        <v>353</v>
      </c>
      <c r="E96" s="15"/>
      <c r="F96" s="33">
        <v>500</v>
      </c>
      <c r="G96" s="42"/>
      <c r="H96" s="42"/>
      <c r="I96" s="33">
        <v>500</v>
      </c>
      <c r="J96" s="46">
        <v>0</v>
      </c>
      <c r="K96" s="34"/>
      <c r="L96" s="39">
        <f>L87*1.05</f>
        <v>1519020393.1138577</v>
      </c>
      <c r="M96" s="39">
        <v>8202.7101228148276</v>
      </c>
      <c r="N96" s="39">
        <f t="shared" ref="N96" si="109">N87*1.05</f>
        <v>3038040786.2277155</v>
      </c>
      <c r="O96" s="39">
        <f>O69*1</f>
        <v>30000</v>
      </c>
      <c r="P96" s="39">
        <f t="shared" ref="P96:U96" si="110">P69*1</f>
        <v>465</v>
      </c>
      <c r="Q96" s="36">
        <v>0.75</v>
      </c>
      <c r="R96" s="39">
        <f t="shared" si="110"/>
        <v>48339.451842887494</v>
      </c>
      <c r="S96" s="39">
        <f t="shared" si="110"/>
        <v>100</v>
      </c>
      <c r="T96" s="39">
        <f t="shared" si="110"/>
        <v>200</v>
      </c>
      <c r="U96" s="39">
        <f t="shared" si="110"/>
        <v>240</v>
      </c>
      <c r="V96" s="39">
        <v>10</v>
      </c>
      <c r="W96" s="39">
        <v>7680</v>
      </c>
      <c r="X96" s="39">
        <v>20</v>
      </c>
      <c r="Y96" s="42">
        <v>500</v>
      </c>
    </row>
    <row r="97" spans="1:25" ht="15" x14ac:dyDescent="0.15">
      <c r="A97" s="27" t="s">
        <v>296</v>
      </c>
      <c r="B97" s="11" t="s">
        <v>229</v>
      </c>
      <c r="C97" s="12" t="s">
        <v>341</v>
      </c>
      <c r="E97" s="15"/>
      <c r="F97" s="33">
        <v>0</v>
      </c>
      <c r="G97" s="42"/>
      <c r="H97" s="42"/>
      <c r="I97" s="33">
        <v>0</v>
      </c>
      <c r="J97" s="49">
        <v>9.5000000000000001E-2</v>
      </c>
      <c r="K97" s="34"/>
      <c r="L97" s="39">
        <v>8</v>
      </c>
      <c r="M97" s="39">
        <v>4.5</v>
      </c>
      <c r="N97" s="39">
        <v>100</v>
      </c>
      <c r="O97" s="39">
        <f>O4</f>
        <v>100</v>
      </c>
      <c r="P97" s="39">
        <f t="shared" ref="P97:X97" si="111">P4</f>
        <v>350</v>
      </c>
      <c r="Q97" s="39">
        <f t="shared" si="111"/>
        <v>1</v>
      </c>
      <c r="R97" s="39">
        <f t="shared" si="111"/>
        <v>10</v>
      </c>
      <c r="S97" s="39">
        <f t="shared" si="111"/>
        <v>1</v>
      </c>
      <c r="T97" s="39">
        <f t="shared" si="111"/>
        <v>200</v>
      </c>
      <c r="U97" s="39">
        <f t="shared" si="111"/>
        <v>10</v>
      </c>
      <c r="V97" s="39">
        <v>10</v>
      </c>
      <c r="W97" s="39">
        <v>0</v>
      </c>
      <c r="X97" s="39">
        <f t="shared" si="111"/>
        <v>0</v>
      </c>
      <c r="Y97" s="39">
        <v>0</v>
      </c>
    </row>
    <row r="98" spans="1:25" ht="15" x14ac:dyDescent="0.15">
      <c r="A98" s="3" t="s">
        <v>339</v>
      </c>
      <c r="B98" s="11" t="s">
        <v>340</v>
      </c>
      <c r="C98" s="12" t="s">
        <v>353</v>
      </c>
      <c r="E98" s="15"/>
      <c r="F98" s="33">
        <v>0</v>
      </c>
      <c r="G98" s="42"/>
      <c r="H98" s="42"/>
      <c r="I98" s="33">
        <v>0</v>
      </c>
      <c r="J98" s="49">
        <v>25</v>
      </c>
      <c r="K98" s="34"/>
      <c r="L98" s="39">
        <v>400</v>
      </c>
      <c r="M98" s="39">
        <v>9</v>
      </c>
      <c r="N98" s="39">
        <v>25000</v>
      </c>
      <c r="O98" s="39">
        <f t="shared" ref="O98:X99" si="112">O4</f>
        <v>100</v>
      </c>
      <c r="P98" s="39">
        <f t="shared" si="112"/>
        <v>350</v>
      </c>
      <c r="Q98" s="39">
        <f t="shared" si="112"/>
        <v>1</v>
      </c>
      <c r="R98" s="39">
        <f t="shared" si="112"/>
        <v>10</v>
      </c>
      <c r="S98" s="39">
        <f t="shared" si="112"/>
        <v>1</v>
      </c>
      <c r="T98" s="39">
        <v>400</v>
      </c>
      <c r="U98" s="39">
        <f t="shared" si="112"/>
        <v>10</v>
      </c>
      <c r="V98" s="39">
        <v>10</v>
      </c>
      <c r="W98" s="39">
        <v>512</v>
      </c>
      <c r="X98" s="39">
        <f t="shared" si="112"/>
        <v>0</v>
      </c>
      <c r="Y98" s="39">
        <v>0</v>
      </c>
    </row>
    <row r="99" spans="1:25" ht="15" x14ac:dyDescent="0.15">
      <c r="A99" s="51" t="s">
        <v>377</v>
      </c>
      <c r="B99" s="11" t="s">
        <v>378</v>
      </c>
      <c r="C99" s="12" t="s">
        <v>353</v>
      </c>
      <c r="F99" s="33">
        <v>500</v>
      </c>
      <c r="G99" s="15"/>
      <c r="H99" s="15"/>
      <c r="I99" s="33">
        <v>500</v>
      </c>
      <c r="J99" s="46">
        <v>0</v>
      </c>
      <c r="K99" s="15"/>
      <c r="L99" s="15">
        <v>2000000</v>
      </c>
      <c r="M99" s="15">
        <v>90</v>
      </c>
      <c r="N99" s="15">
        <v>10000000</v>
      </c>
      <c r="O99" s="39">
        <f t="shared" si="112"/>
        <v>100</v>
      </c>
      <c r="P99" s="39">
        <f t="shared" si="112"/>
        <v>355</v>
      </c>
      <c r="Q99" s="39">
        <f t="shared" si="112"/>
        <v>1</v>
      </c>
      <c r="R99" s="39">
        <f t="shared" si="112"/>
        <v>100</v>
      </c>
      <c r="S99" s="39">
        <f t="shared" si="112"/>
        <v>1</v>
      </c>
      <c r="T99" s="39">
        <v>400</v>
      </c>
      <c r="U99" s="39">
        <f t="shared" si="112"/>
        <v>20</v>
      </c>
      <c r="V99" s="39">
        <v>10</v>
      </c>
      <c r="W99" s="39">
        <v>640</v>
      </c>
      <c r="X99" s="39">
        <f t="shared" si="112"/>
        <v>0</v>
      </c>
      <c r="Y99" s="39">
        <v>0</v>
      </c>
    </row>
    <row r="100" spans="1:25" ht="15" x14ac:dyDescent="0.15">
      <c r="A100" s="52" t="s">
        <v>434</v>
      </c>
      <c r="B100" s="11" t="s">
        <v>391</v>
      </c>
      <c r="C100" s="12" t="s">
        <v>353</v>
      </c>
      <c r="F100" s="33">
        <v>500</v>
      </c>
      <c r="I100" s="33">
        <v>500</v>
      </c>
      <c r="J100" s="46">
        <v>0</v>
      </c>
      <c r="L100">
        <f>L82*1.1</f>
        <v>510433300.78125018</v>
      </c>
      <c r="M100">
        <v>2756.3398242187504</v>
      </c>
      <c r="N100">
        <f t="shared" ref="N100" si="113">N82*1.1</f>
        <v>1020866601.5625004</v>
      </c>
      <c r="O100" s="39">
        <f t="shared" ref="O100:U100" si="114">O72*1</f>
        <v>30000</v>
      </c>
      <c r="P100" s="39">
        <f t="shared" si="114"/>
        <v>375</v>
      </c>
      <c r="Q100" s="36">
        <v>0.75</v>
      </c>
      <c r="R100" s="39">
        <f t="shared" si="114"/>
        <v>1600</v>
      </c>
      <c r="S100" s="39">
        <f t="shared" si="114"/>
        <v>100</v>
      </c>
      <c r="T100" s="39">
        <f t="shared" si="114"/>
        <v>200</v>
      </c>
      <c r="U100" s="39">
        <f t="shared" si="114"/>
        <v>100</v>
      </c>
      <c r="V100" s="42">
        <v>10</v>
      </c>
      <c r="W100" s="42">
        <v>4096</v>
      </c>
      <c r="X100" s="42">
        <v>0</v>
      </c>
      <c r="Y100" s="42">
        <v>0</v>
      </c>
    </row>
    <row r="101" spans="1:25" ht="15" x14ac:dyDescent="0.15">
      <c r="A101" s="52" t="s">
        <v>435</v>
      </c>
      <c r="B101" s="11" t="s">
        <v>392</v>
      </c>
      <c r="C101" s="12" t="s">
        <v>353</v>
      </c>
      <c r="F101" s="33">
        <v>500</v>
      </c>
      <c r="I101" s="33">
        <v>500</v>
      </c>
      <c r="J101" s="46">
        <v>0</v>
      </c>
      <c r="L101">
        <v>729919620.11718798</v>
      </c>
      <c r="M101">
        <v>3941.5659486328132</v>
      </c>
      <c r="N101">
        <v>1459839240.234376</v>
      </c>
      <c r="O101" s="39">
        <v>30000</v>
      </c>
      <c r="P101" s="39">
        <v>350</v>
      </c>
      <c r="Q101" s="36">
        <v>0.75</v>
      </c>
      <c r="R101" s="39">
        <v>1600</v>
      </c>
      <c r="S101" s="39">
        <v>100</v>
      </c>
      <c r="T101" s="39">
        <v>200</v>
      </c>
      <c r="U101" s="39">
        <v>100</v>
      </c>
      <c r="V101" s="42">
        <v>10</v>
      </c>
      <c r="W101" s="42">
        <v>4096</v>
      </c>
      <c r="X101" s="42">
        <v>0</v>
      </c>
      <c r="Y101" s="42">
        <v>0</v>
      </c>
    </row>
    <row r="102" spans="1:25" ht="15" x14ac:dyDescent="0.15">
      <c r="A102" s="52" t="s">
        <v>436</v>
      </c>
      <c r="B102" s="11" t="s">
        <v>393</v>
      </c>
      <c r="C102" s="12" t="s">
        <v>353</v>
      </c>
      <c r="F102" s="33">
        <v>500</v>
      </c>
      <c r="I102" s="33">
        <v>500</v>
      </c>
      <c r="J102" s="46">
        <v>0</v>
      </c>
      <c r="L102">
        <v>729919620.11718798</v>
      </c>
      <c r="M102">
        <v>3941.5659486328132</v>
      </c>
      <c r="N102">
        <v>1459839240.234376</v>
      </c>
      <c r="O102" s="39">
        <v>30000</v>
      </c>
      <c r="P102" s="39">
        <v>350</v>
      </c>
      <c r="Q102" s="36">
        <v>0.75</v>
      </c>
      <c r="R102" s="39">
        <v>1600</v>
      </c>
      <c r="S102" s="39">
        <v>100</v>
      </c>
      <c r="T102" s="39">
        <v>200</v>
      </c>
      <c r="U102" s="39">
        <v>100</v>
      </c>
      <c r="V102" s="42">
        <v>10</v>
      </c>
      <c r="W102" s="42">
        <v>4096</v>
      </c>
      <c r="X102" s="42">
        <v>0</v>
      </c>
      <c r="Y102" s="42">
        <v>0</v>
      </c>
    </row>
    <row r="103" spans="1:25" ht="15" x14ac:dyDescent="0.15">
      <c r="A103" s="52" t="s">
        <v>437</v>
      </c>
      <c r="B103" s="11" t="s">
        <v>394</v>
      </c>
      <c r="C103" s="12" t="s">
        <v>353</v>
      </c>
      <c r="F103" s="33">
        <v>500</v>
      </c>
      <c r="I103" s="33">
        <v>500</v>
      </c>
      <c r="J103" s="46">
        <v>0</v>
      </c>
      <c r="L103">
        <v>729919620.11718798</v>
      </c>
      <c r="M103">
        <v>3941.5659486328173</v>
      </c>
      <c r="N103">
        <v>1459839240.23438</v>
      </c>
      <c r="O103" s="39">
        <v>30000</v>
      </c>
      <c r="P103" s="39">
        <v>350</v>
      </c>
      <c r="Q103" s="36">
        <v>0.75</v>
      </c>
      <c r="R103" s="39">
        <v>1600</v>
      </c>
      <c r="S103" s="39">
        <v>100</v>
      </c>
      <c r="T103" s="39">
        <v>200</v>
      </c>
      <c r="U103" s="39">
        <v>100</v>
      </c>
      <c r="V103" s="42">
        <v>10</v>
      </c>
      <c r="W103" s="42">
        <v>4096</v>
      </c>
      <c r="X103" s="42">
        <v>0</v>
      </c>
      <c r="Y103" s="42">
        <v>0</v>
      </c>
    </row>
    <row r="104" spans="1:25" ht="15" x14ac:dyDescent="0.15">
      <c r="A104" s="52" t="s">
        <v>431</v>
      </c>
      <c r="B104" s="11" t="s">
        <v>395</v>
      </c>
      <c r="C104" s="12" t="s">
        <v>353</v>
      </c>
      <c r="F104" s="33">
        <v>500</v>
      </c>
      <c r="I104" s="33">
        <v>500</v>
      </c>
      <c r="J104" s="46">
        <v>0</v>
      </c>
      <c r="L104">
        <v>729919620.11718798</v>
      </c>
      <c r="M104">
        <v>3941.5659486328173</v>
      </c>
      <c r="N104">
        <v>1459839240.23438</v>
      </c>
      <c r="O104" s="39">
        <v>30000</v>
      </c>
      <c r="P104" s="39">
        <v>350</v>
      </c>
      <c r="Q104" s="36">
        <v>0.75</v>
      </c>
      <c r="R104" s="39">
        <v>1600</v>
      </c>
      <c r="S104" s="39">
        <v>100</v>
      </c>
      <c r="T104" s="39">
        <v>200</v>
      </c>
      <c r="U104" s="39">
        <v>100</v>
      </c>
      <c r="V104" s="42">
        <v>10</v>
      </c>
      <c r="W104" s="42">
        <v>4096</v>
      </c>
      <c r="X104" s="42">
        <v>0</v>
      </c>
      <c r="Y104" s="42">
        <v>0</v>
      </c>
    </row>
    <row r="105" spans="1:25" ht="15" x14ac:dyDescent="0.15">
      <c r="A105" s="52" t="s">
        <v>432</v>
      </c>
      <c r="B105" s="11" t="s">
        <v>396</v>
      </c>
      <c r="C105" s="12" t="s">
        <v>353</v>
      </c>
      <c r="F105" s="33">
        <v>500</v>
      </c>
      <c r="I105" s="33">
        <v>500</v>
      </c>
      <c r="J105" s="46">
        <v>0</v>
      </c>
      <c r="L105">
        <v>729919620.11718798</v>
      </c>
      <c r="M105">
        <v>3941.5659486328173</v>
      </c>
      <c r="N105">
        <v>1459839240.23438</v>
      </c>
      <c r="O105" s="39">
        <v>30000</v>
      </c>
      <c r="P105" s="39">
        <v>350</v>
      </c>
      <c r="Q105" s="36">
        <v>0.75</v>
      </c>
      <c r="R105" s="39">
        <v>1600</v>
      </c>
      <c r="S105" s="39">
        <v>100</v>
      </c>
      <c r="T105" s="39">
        <v>200</v>
      </c>
      <c r="U105" s="39">
        <v>100</v>
      </c>
      <c r="V105" s="42">
        <v>10</v>
      </c>
      <c r="W105" s="42">
        <v>4096</v>
      </c>
      <c r="X105" s="42">
        <v>0</v>
      </c>
      <c r="Y105" s="42">
        <v>0</v>
      </c>
    </row>
    <row r="106" spans="1:25" ht="15" x14ac:dyDescent="0.15">
      <c r="A106" s="52" t="s">
        <v>433</v>
      </c>
      <c r="B106" s="11" t="s">
        <v>397</v>
      </c>
      <c r="C106" s="12" t="s">
        <v>353</v>
      </c>
      <c r="F106" s="33">
        <v>500</v>
      </c>
      <c r="I106" s="33">
        <v>500</v>
      </c>
      <c r="J106" s="46">
        <v>0</v>
      </c>
      <c r="K106" s="6"/>
      <c r="L106">
        <v>729919620.11718798</v>
      </c>
      <c r="M106">
        <v>3941.5659486328173</v>
      </c>
      <c r="N106">
        <v>1459839240.23438</v>
      </c>
      <c r="O106" s="39">
        <v>30000</v>
      </c>
      <c r="P106" s="39">
        <v>350</v>
      </c>
      <c r="Q106" s="36">
        <v>0.75</v>
      </c>
      <c r="R106" s="39">
        <v>1600</v>
      </c>
      <c r="S106" s="39">
        <v>100</v>
      </c>
      <c r="T106" s="39">
        <v>200</v>
      </c>
      <c r="U106" s="39">
        <v>100</v>
      </c>
      <c r="V106" s="42">
        <v>10</v>
      </c>
      <c r="W106" s="42">
        <v>4096</v>
      </c>
      <c r="X106" s="42">
        <v>0</v>
      </c>
      <c r="Y106" s="42">
        <v>0</v>
      </c>
    </row>
    <row r="107" spans="1:25" ht="15" x14ac:dyDescent="0.15">
      <c r="A107" s="52" t="s">
        <v>438</v>
      </c>
      <c r="B107" s="11" t="s">
        <v>398</v>
      </c>
      <c r="C107" s="12" t="s">
        <v>353</v>
      </c>
      <c r="F107" s="33">
        <v>500</v>
      </c>
      <c r="I107" s="33">
        <v>500</v>
      </c>
      <c r="J107" s="46">
        <v>0</v>
      </c>
      <c r="K107" s="6"/>
      <c r="L107">
        <v>729919620.11718798</v>
      </c>
      <c r="M107">
        <v>3941.5659486328173</v>
      </c>
      <c r="N107">
        <v>1459839240.23438</v>
      </c>
      <c r="O107" s="39">
        <v>30000</v>
      </c>
      <c r="P107" s="39">
        <v>350</v>
      </c>
      <c r="Q107" s="36">
        <v>0.75</v>
      </c>
      <c r="R107" s="39">
        <v>1600</v>
      </c>
      <c r="S107" s="39">
        <v>100</v>
      </c>
      <c r="T107" s="39">
        <v>200</v>
      </c>
      <c r="U107" s="39">
        <v>100</v>
      </c>
      <c r="V107" s="42">
        <v>10</v>
      </c>
      <c r="W107" s="42">
        <v>4096</v>
      </c>
      <c r="X107" s="42">
        <v>0</v>
      </c>
      <c r="Y107" s="42">
        <v>0</v>
      </c>
    </row>
    <row r="108" spans="1:25" ht="15" x14ac:dyDescent="0.15">
      <c r="A108" s="52" t="s">
        <v>439</v>
      </c>
      <c r="B108" s="11" t="s">
        <v>399</v>
      </c>
      <c r="C108" s="12" t="s">
        <v>353</v>
      </c>
      <c r="F108" s="33">
        <v>500</v>
      </c>
      <c r="I108" s="33">
        <v>500</v>
      </c>
      <c r="J108" s="46">
        <v>0</v>
      </c>
      <c r="L108">
        <v>729919620.11718798</v>
      </c>
      <c r="M108">
        <v>3941.5659486328173</v>
      </c>
      <c r="N108">
        <v>1459839240.23438</v>
      </c>
      <c r="O108" s="39">
        <v>30000</v>
      </c>
      <c r="P108" s="39">
        <v>350</v>
      </c>
      <c r="Q108" s="36">
        <v>0.75</v>
      </c>
      <c r="R108" s="39">
        <v>1600</v>
      </c>
      <c r="S108" s="39">
        <v>100</v>
      </c>
      <c r="T108" s="39">
        <v>200</v>
      </c>
      <c r="U108" s="39">
        <v>100</v>
      </c>
      <c r="V108" s="42">
        <v>10</v>
      </c>
      <c r="W108" s="42">
        <v>4096</v>
      </c>
      <c r="X108" s="42">
        <v>0</v>
      </c>
      <c r="Y108" s="42">
        <v>0</v>
      </c>
    </row>
    <row r="109" spans="1:25" ht="15" x14ac:dyDescent="0.15">
      <c r="A109" s="16" t="s">
        <v>406</v>
      </c>
      <c r="B109" s="11" t="s">
        <v>407</v>
      </c>
      <c r="C109" s="12" t="s">
        <v>353</v>
      </c>
      <c r="F109" s="33">
        <v>500</v>
      </c>
      <c r="I109" s="33">
        <v>500</v>
      </c>
      <c r="J109" s="46">
        <v>0</v>
      </c>
      <c r="L109">
        <f>L96*1.05</f>
        <v>1594971412.7695508</v>
      </c>
      <c r="M109">
        <v>8612.8456289555706</v>
      </c>
      <c r="N109">
        <f t="shared" ref="N109" si="115">N96*1.05</f>
        <v>3189942825.5391016</v>
      </c>
      <c r="O109" s="39">
        <v>30000</v>
      </c>
      <c r="P109" s="39">
        <v>350</v>
      </c>
      <c r="Q109" s="36">
        <v>0.75</v>
      </c>
      <c r="R109" s="39">
        <v>1600</v>
      </c>
      <c r="S109" s="39">
        <v>100</v>
      </c>
      <c r="T109" s="39">
        <v>200</v>
      </c>
      <c r="U109" s="39">
        <v>100</v>
      </c>
      <c r="V109" s="42">
        <v>10</v>
      </c>
      <c r="W109" s="42">
        <v>6400</v>
      </c>
      <c r="X109" s="39">
        <v>20</v>
      </c>
      <c r="Y109" s="42">
        <v>500</v>
      </c>
    </row>
    <row r="110" spans="1:25" ht="15" x14ac:dyDescent="0.15">
      <c r="A110" s="16" t="s">
        <v>409</v>
      </c>
      <c r="B110" s="11" t="s">
        <v>410</v>
      </c>
      <c r="C110" s="12" t="s">
        <v>341</v>
      </c>
      <c r="F110" s="33">
        <v>500</v>
      </c>
      <c r="I110" s="33">
        <v>500</v>
      </c>
      <c r="J110" s="49">
        <v>9.5000000000000001E-2</v>
      </c>
      <c r="L110" s="39">
        <v>200000</v>
      </c>
      <c r="M110" s="39">
        <v>18</v>
      </c>
      <c r="N110" s="39">
        <v>1000000</v>
      </c>
      <c r="O110" s="39">
        <v>1000</v>
      </c>
      <c r="P110" s="39">
        <v>350</v>
      </c>
      <c r="Q110" s="40">
        <v>1</v>
      </c>
      <c r="R110" s="39">
        <v>800</v>
      </c>
      <c r="S110" s="39">
        <v>10</v>
      </c>
      <c r="T110" s="39">
        <v>200</v>
      </c>
      <c r="U110" s="39">
        <v>50</v>
      </c>
      <c r="V110" s="42">
        <v>5</v>
      </c>
      <c r="W110" s="42">
        <v>0</v>
      </c>
      <c r="X110" s="42">
        <v>0</v>
      </c>
      <c r="Y110" s="42">
        <v>0</v>
      </c>
    </row>
    <row r="111" spans="1:25" ht="15" x14ac:dyDescent="0.15">
      <c r="A111" s="50" t="s">
        <v>413</v>
      </c>
      <c r="B111" s="11" t="s">
        <v>417</v>
      </c>
      <c r="C111" s="12" t="s">
        <v>353</v>
      </c>
      <c r="F111" s="33">
        <v>500</v>
      </c>
      <c r="I111" s="33">
        <v>500</v>
      </c>
      <c r="J111" s="46">
        <v>0</v>
      </c>
      <c r="L111">
        <f>L74*1.1</f>
        <v>1127287861.3089852</v>
      </c>
      <c r="M111">
        <f>M74*1.1</f>
        <v>6087.3544510685169</v>
      </c>
      <c r="N111">
        <f>N74*1.1</f>
        <v>2254575722.6179705</v>
      </c>
      <c r="O111" s="53">
        <f>O74</f>
        <v>30000</v>
      </c>
      <c r="P111" s="53">
        <f t="shared" ref="P111:X111" si="116">P74</f>
        <v>420</v>
      </c>
      <c r="Q111" s="53">
        <f t="shared" si="116"/>
        <v>0.75</v>
      </c>
      <c r="R111" s="53">
        <f t="shared" si="116"/>
        <v>20500.646400000001</v>
      </c>
      <c r="S111" s="53">
        <f t="shared" si="116"/>
        <v>100</v>
      </c>
      <c r="T111" s="53">
        <f t="shared" si="116"/>
        <v>200</v>
      </c>
      <c r="U111" s="53">
        <f t="shared" si="116"/>
        <v>150</v>
      </c>
      <c r="V111" s="53">
        <f t="shared" si="116"/>
        <v>10</v>
      </c>
      <c r="W111" s="53">
        <f t="shared" si="116"/>
        <v>5120</v>
      </c>
      <c r="X111" s="53">
        <f t="shared" si="116"/>
        <v>20</v>
      </c>
      <c r="Y111" s="42">
        <v>500</v>
      </c>
    </row>
    <row r="112" spans="1:25" ht="15" x14ac:dyDescent="0.15">
      <c r="A112" s="50" t="s">
        <v>414</v>
      </c>
      <c r="B112" s="11" t="s">
        <v>418</v>
      </c>
      <c r="C112" s="12" t="s">
        <v>353</v>
      </c>
      <c r="F112" s="33">
        <v>500</v>
      </c>
      <c r="I112" s="33">
        <v>500</v>
      </c>
      <c r="J112" s="46">
        <v>0</v>
      </c>
      <c r="L112">
        <f>L111*1.03</f>
        <v>1161106497.1482549</v>
      </c>
      <c r="M112">
        <f t="shared" ref="M112:N114" si="117">M111*1.03</f>
        <v>6269.9750846005727</v>
      </c>
      <c r="N112">
        <f t="shared" si="117"/>
        <v>2322212994.2965097</v>
      </c>
      <c r="O112" s="53">
        <f>O111</f>
        <v>30000</v>
      </c>
      <c r="P112" s="53">
        <f t="shared" ref="P112:X112" si="118">P111</f>
        <v>420</v>
      </c>
      <c r="Q112" s="53">
        <f t="shared" si="118"/>
        <v>0.75</v>
      </c>
      <c r="R112" s="53">
        <f t="shared" si="118"/>
        <v>20500.646400000001</v>
      </c>
      <c r="S112" s="53">
        <f t="shared" si="118"/>
        <v>100</v>
      </c>
      <c r="T112" s="53">
        <f t="shared" si="118"/>
        <v>200</v>
      </c>
      <c r="U112" s="53">
        <f t="shared" si="118"/>
        <v>150</v>
      </c>
      <c r="V112" s="53">
        <f t="shared" si="118"/>
        <v>10</v>
      </c>
      <c r="W112" s="53">
        <f t="shared" si="118"/>
        <v>5120</v>
      </c>
      <c r="X112" s="53">
        <f t="shared" si="118"/>
        <v>20</v>
      </c>
      <c r="Y112" s="42">
        <v>500</v>
      </c>
    </row>
    <row r="113" spans="1:25" ht="15" x14ac:dyDescent="0.15">
      <c r="A113" s="50" t="s">
        <v>415</v>
      </c>
      <c r="B113" s="11" t="s">
        <v>419</v>
      </c>
      <c r="C113" s="12" t="s">
        <v>353</v>
      </c>
      <c r="F113" s="33">
        <v>500</v>
      </c>
      <c r="I113" s="33">
        <v>500</v>
      </c>
      <c r="J113" s="46">
        <v>0</v>
      </c>
      <c r="L113">
        <f t="shared" ref="L113:L114" si="119">L112*1.03</f>
        <v>1195939692.0627027</v>
      </c>
      <c r="M113">
        <f t="shared" si="117"/>
        <v>6458.0743371385897</v>
      </c>
      <c r="N113">
        <f t="shared" si="117"/>
        <v>2391879384.1254053</v>
      </c>
      <c r="O113" s="53">
        <f t="shared" ref="O113:O114" si="120">O112</f>
        <v>30000</v>
      </c>
      <c r="P113" s="53">
        <f t="shared" ref="P113:P114" si="121">P112</f>
        <v>420</v>
      </c>
      <c r="Q113" s="53">
        <f t="shared" ref="Q113:Q114" si="122">Q112</f>
        <v>0.75</v>
      </c>
      <c r="R113" s="53">
        <f t="shared" ref="R113:R114" si="123">R112</f>
        <v>20500.646400000001</v>
      </c>
      <c r="S113" s="53">
        <f t="shared" ref="S113:S114" si="124">S112</f>
        <v>100</v>
      </c>
      <c r="T113" s="53">
        <f t="shared" ref="T113:T114" si="125">T112</f>
        <v>200</v>
      </c>
      <c r="U113" s="53">
        <f t="shared" ref="U113:U114" si="126">U112</f>
        <v>150</v>
      </c>
      <c r="V113" s="53">
        <f t="shared" ref="V113:V114" si="127">V112</f>
        <v>10</v>
      </c>
      <c r="W113" s="53">
        <f t="shared" ref="W113:W114" si="128">W112</f>
        <v>5120</v>
      </c>
      <c r="X113" s="53">
        <f t="shared" ref="X113:X114" si="129">X112</f>
        <v>20</v>
      </c>
      <c r="Y113" s="42">
        <v>500</v>
      </c>
    </row>
    <row r="114" spans="1:25" ht="15" x14ac:dyDescent="0.15">
      <c r="A114" s="50" t="s">
        <v>416</v>
      </c>
      <c r="B114" s="11" t="s">
        <v>420</v>
      </c>
      <c r="C114" s="12" t="s">
        <v>353</v>
      </c>
      <c r="F114" s="33">
        <v>500</v>
      </c>
      <c r="I114" s="33">
        <v>500</v>
      </c>
      <c r="J114" s="46">
        <v>0</v>
      </c>
      <c r="L114">
        <f t="shared" si="119"/>
        <v>1231817882.8245838</v>
      </c>
      <c r="M114">
        <f t="shared" si="117"/>
        <v>6651.8165672527475</v>
      </c>
      <c r="N114">
        <f t="shared" si="117"/>
        <v>2463635765.6491675</v>
      </c>
      <c r="O114" s="53">
        <f t="shared" si="120"/>
        <v>30000</v>
      </c>
      <c r="P114" s="53">
        <f t="shared" si="121"/>
        <v>420</v>
      </c>
      <c r="Q114" s="53">
        <f t="shared" si="122"/>
        <v>0.75</v>
      </c>
      <c r="R114" s="53">
        <f t="shared" si="123"/>
        <v>20500.646400000001</v>
      </c>
      <c r="S114" s="53">
        <f t="shared" si="124"/>
        <v>100</v>
      </c>
      <c r="T114" s="53">
        <f t="shared" si="125"/>
        <v>200</v>
      </c>
      <c r="U114" s="53">
        <f t="shared" si="126"/>
        <v>150</v>
      </c>
      <c r="V114" s="53">
        <f t="shared" si="127"/>
        <v>10</v>
      </c>
      <c r="W114" s="53">
        <f t="shared" si="128"/>
        <v>5120</v>
      </c>
      <c r="X114" s="53">
        <f t="shared" si="129"/>
        <v>20</v>
      </c>
      <c r="Y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2019-06-19T09:00:12Z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