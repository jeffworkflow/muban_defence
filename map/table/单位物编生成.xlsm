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FCB80B89-885F-41F9-A721-4AF029BF8D71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2" i="29" l="1"/>
  <c r="M109" i="29"/>
  <c r="M96" i="29"/>
  <c r="L85" i="29"/>
  <c r="L79" i="29"/>
  <c r="L88" i="29"/>
  <c r="L76" i="29"/>
  <c r="M76" i="29"/>
  <c r="L77" i="29"/>
  <c r="M77" i="29"/>
  <c r="L78" i="29"/>
  <c r="M78" i="29"/>
  <c r="M74" i="29"/>
  <c r="M73" i="29"/>
  <c r="M111" i="29"/>
  <c r="L71" i="29"/>
  <c r="L72" i="29"/>
  <c r="L73" i="29"/>
  <c r="L74" i="29"/>
  <c r="N74" i="29"/>
  <c r="N73" i="29"/>
  <c r="N72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1" i="29"/>
  <c r="M41" i="29"/>
  <c r="M21" i="29" l="1"/>
  <c r="M22" i="29" s="1"/>
  <c r="M23" i="29" s="1"/>
  <c r="L41" i="29"/>
  <c r="L45" i="29" s="1"/>
  <c r="M42" i="29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<sst xmlns="http://schemas.openxmlformats.org/spreadsheetml/2006/main" count="859" uniqueCount="440">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</sst>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I22" sqref="I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49" activePane="bottomLeft" state="frozen"/>
      <selection activeCell="D1" sqref="D1"/>
      <selection pane="bottomLeft" activeCell="M72" sqref="M72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M43*1.9</f>
        <v>308.65499999999997</v>
      </c>
      <c r="N40" s="39">
        <f t="shared" si="34"/>
        <v>27436000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1114.2445499999999</v>
      </c>
      <c r="N41" s="39">
        <f t="shared" si="34"/>
        <v>99043960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4022.4228254999989</v>
      </c>
      <c r="N42" s="39">
        <f t="shared" si="34"/>
        <v>357548695.59999996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8">M39*1.9</f>
        <v>162.44999999999999</v>
      </c>
      <c r="N43" s="39">
        <f t="shared" si="38"/>
        <v>14440000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8"/>
        <v>586.44449999999995</v>
      </c>
      <c r="N44" s="39">
        <f t="shared" si="38"/>
        <v>52128400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8"/>
        <v>2117.0646449999995</v>
      </c>
      <c r="N45" s="39">
        <f t="shared" si="38"/>
        <v>188183524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5">M46*1.25</f>
        <v>50.625</v>
      </c>
      <c r="N47" s="39">
        <f t="shared" si="45"/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123.59619140625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253.125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8">M55*1.5</f>
        <v>2017.08984375</v>
      </c>
      <c r="N56" s="39">
        <f t="shared" si="48"/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9">M56*1.1</f>
        <v>2218.798828125</v>
      </c>
      <c r="N57" s="39">
        <f t="shared" si="49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50">M57*1.5</f>
        <v>3328.1982421875</v>
      </c>
      <c r="N58" s="39">
        <f t="shared" si="50"/>
        <v>821777343.75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51">M58*1.1</f>
        <v>3661.0180664062505</v>
      </c>
      <c r="N59" s="39">
        <f t="shared" si="51"/>
        <v>903955078.12500012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2">M59*1.5</f>
        <v>5491.5270996093759</v>
      </c>
      <c r="N60" s="39">
        <f t="shared" si="52"/>
        <v>1355932617.1875002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3">M60*1.1</f>
        <v>6040.6798095703143</v>
      </c>
      <c r="N61" s="39">
        <f t="shared" si="53"/>
        <v>1491525878.9062505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4">M61*1.5</f>
        <v>9061.0197143554724</v>
      </c>
      <c r="N62" s="39">
        <f t="shared" si="54"/>
        <v>2237288818.359376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5">M62*1.1</f>
        <v>9967.1216857910204</v>
      </c>
      <c r="N63" s="39">
        <f t="shared" si="55"/>
        <v>2461017700.1953139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6">M63*1.5</f>
        <v>14950.682528686531</v>
      </c>
      <c r="N64" s="39">
        <f t="shared" si="56"/>
        <v>3691526550.2929707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M65:N65" si="57">N64*1.1</f>
        <v>4060679205.322268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:M72" si="58">L54*0.9</f>
        <v>119531250</v>
      </c>
      <c r="M72" s="39">
        <f>M54*0.9*2</f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:M73" si="59">L61*0.9</f>
        <v>671186645.50781274</v>
      </c>
      <c r="M73" s="39">
        <f>M61*0.9*2</f>
        <v>10873.223657226567</v>
      </c>
      <c r="N73" s="39">
        <f>N61*0.9</f>
        <v>1342373291.0156255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:M74" si="60">L65*0.9</f>
        <v>1827305642.3950207</v>
      </c>
      <c r="M74" s="39">
        <f>M65*0.9*1.8</f>
        <v>26642.116266119407</v>
      </c>
      <c r="N74" s="39">
        <f>N65*0.9</f>
        <v>3654611284.7900414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1">L55*1.1</f>
        <v>182617187.5</v>
      </c>
      <c r="M76" s="39">
        <f t="shared" si="61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2">L63*0.9</f>
        <v>1107457965.0878913</v>
      </c>
      <c r="M77" s="39">
        <f t="shared" si="62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3">L65*1.2</f>
        <v>2436407523.1933608</v>
      </c>
      <c r="M78" s="39">
        <f t="shared" si="63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4">M53*1.1</f>
        <v>696.09375</v>
      </c>
      <c r="N79" s="39">
        <f t="shared" si="6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5">M55*1.1</f>
        <v>1479.1992187500002</v>
      </c>
      <c r="N80" s="39">
        <f t="shared" si="65"/>
        <v>365234375</v>
      </c>
      <c r="O80" s="39">
        <f t="shared" ref="O80:P88" si="66">O52*1</f>
        <v>30000</v>
      </c>
      <c r="P80" s="39">
        <f t="shared" si="66"/>
        <v>380</v>
      </c>
      <c r="Q80" s="36">
        <v>0.75</v>
      </c>
      <c r="R80" s="39">
        <f t="shared" ref="R80:T88" si="67">R52*1</f>
        <v>2400</v>
      </c>
      <c r="S80" s="39">
        <f t="shared" si="67"/>
        <v>100</v>
      </c>
      <c r="T80" s="39">
        <f t="shared" si="6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8">M57*1.1</f>
        <v>2440.6787109375</v>
      </c>
      <c r="N81" s="39">
        <f t="shared" si="68"/>
        <v>602636718.75</v>
      </c>
      <c r="O81" s="39">
        <f t="shared" si="66"/>
        <v>30000</v>
      </c>
      <c r="P81" s="39">
        <f t="shared" si="66"/>
        <v>385</v>
      </c>
      <c r="Q81" s="36">
        <v>0.75</v>
      </c>
      <c r="R81" s="39">
        <f t="shared" si="67"/>
        <v>3600</v>
      </c>
      <c r="S81" s="39">
        <f t="shared" si="67"/>
        <v>100</v>
      </c>
      <c r="T81" s="39">
        <f t="shared" si="67"/>
        <v>200</v>
      </c>
      <c r="U81" s="39">
        <f t="shared" ref="U81:U88" si="6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70">M59*1.1</f>
        <v>4027.1198730468759</v>
      </c>
      <c r="N82" s="39">
        <f t="shared" si="70"/>
        <v>994350585.93750024</v>
      </c>
      <c r="O82" s="39">
        <f t="shared" si="66"/>
        <v>30000</v>
      </c>
      <c r="P82" s="39">
        <f t="shared" si="66"/>
        <v>390</v>
      </c>
      <c r="Q82" s="36">
        <v>0.75</v>
      </c>
      <c r="R82" s="39">
        <f t="shared" si="67"/>
        <v>5400</v>
      </c>
      <c r="S82" s="39">
        <f t="shared" si="67"/>
        <v>100</v>
      </c>
      <c r="T82" s="39">
        <f t="shared" si="67"/>
        <v>200</v>
      </c>
      <c r="U82" s="39">
        <f t="shared" si="6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71">M61*1.1</f>
        <v>6644.7477905273463</v>
      </c>
      <c r="N83" s="39">
        <f t="shared" si="71"/>
        <v>1640678466.7968757</v>
      </c>
      <c r="O83" s="39">
        <f t="shared" si="66"/>
        <v>30000</v>
      </c>
      <c r="P83" s="39">
        <f t="shared" si="66"/>
        <v>395</v>
      </c>
      <c r="Q83" s="36">
        <v>0.75</v>
      </c>
      <c r="R83" s="39">
        <f t="shared" si="67"/>
        <v>7560</v>
      </c>
      <c r="S83" s="39">
        <f t="shared" si="67"/>
        <v>100</v>
      </c>
      <c r="T83" s="39">
        <f t="shared" si="67"/>
        <v>200</v>
      </c>
      <c r="U83" s="39">
        <f t="shared" si="6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2">M63*1.1</f>
        <v>10963.833854370123</v>
      </c>
      <c r="N84" s="39">
        <f t="shared" si="72"/>
        <v>2707119470.2148457</v>
      </c>
      <c r="O84" s="39">
        <f t="shared" si="66"/>
        <v>30000</v>
      </c>
      <c r="P84" s="39">
        <f t="shared" si="66"/>
        <v>400</v>
      </c>
      <c r="Q84" s="36">
        <v>0.75</v>
      </c>
      <c r="R84" s="39">
        <f t="shared" si="67"/>
        <v>9828</v>
      </c>
      <c r="S84" s="39">
        <f t="shared" si="67"/>
        <v>100</v>
      </c>
      <c r="T84" s="39">
        <f t="shared" si="67"/>
        <v>200</v>
      </c>
      <c r="U84" s="39">
        <f t="shared" si="6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3">M65*1.05</f>
        <v>17268.038320632946</v>
      </c>
      <c r="N85" s="39">
        <f t="shared" si="73"/>
        <v>4263713165.5883818</v>
      </c>
      <c r="O85" s="39">
        <f t="shared" si="66"/>
        <v>30000</v>
      </c>
      <c r="P85" s="39">
        <f t="shared" si="66"/>
        <v>405</v>
      </c>
      <c r="Q85" s="36">
        <v>0.75</v>
      </c>
      <c r="R85" s="39">
        <f t="shared" si="67"/>
        <v>12776.400000000001</v>
      </c>
      <c r="S85" s="39">
        <f t="shared" si="67"/>
        <v>100</v>
      </c>
      <c r="T85" s="39">
        <f t="shared" si="67"/>
        <v>200</v>
      </c>
      <c r="U85" s="39">
        <f t="shared" si="6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4">M85*1.1</f>
        <v>18994.842152696241</v>
      </c>
      <c r="N86" s="39">
        <f t="shared" si="74"/>
        <v>4690084482.1472206</v>
      </c>
      <c r="O86" s="39">
        <f t="shared" si="66"/>
        <v>30000</v>
      </c>
      <c r="P86" s="39">
        <f t="shared" si="66"/>
        <v>410</v>
      </c>
      <c r="Q86" s="36">
        <v>0.75</v>
      </c>
      <c r="R86" s="39">
        <f t="shared" si="67"/>
        <v>15331.68</v>
      </c>
      <c r="S86" s="39">
        <f t="shared" si="67"/>
        <v>100</v>
      </c>
      <c r="T86" s="39">
        <f t="shared" si="67"/>
        <v>200</v>
      </c>
      <c r="U86" s="39">
        <f t="shared" si="6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4"/>
        <v>20894.326367965867</v>
      </c>
      <c r="N87" s="39">
        <f t="shared" si="74"/>
        <v>5159092930.3619432</v>
      </c>
      <c r="O87" s="39">
        <f t="shared" si="66"/>
        <v>30000</v>
      </c>
      <c r="P87" s="39">
        <f t="shared" si="66"/>
        <v>415</v>
      </c>
      <c r="Q87" s="36">
        <v>0.75</v>
      </c>
      <c r="R87" s="39">
        <f t="shared" si="67"/>
        <v>18398.016</v>
      </c>
      <c r="S87" s="39">
        <f t="shared" si="67"/>
        <v>100</v>
      </c>
      <c r="T87" s="39">
        <f t="shared" si="67"/>
        <v>200</v>
      </c>
      <c r="U87" s="39">
        <f t="shared" si="6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4"/>
        <v>22983.759004762454</v>
      </c>
      <c r="N88" s="39">
        <f t="shared" si="74"/>
        <v>5675002223.398138</v>
      </c>
      <c r="O88" s="39">
        <f t="shared" si="66"/>
        <v>30000</v>
      </c>
      <c r="P88" s="39">
        <f t="shared" si="66"/>
        <v>420</v>
      </c>
      <c r="Q88" s="36">
        <v>0.75</v>
      </c>
      <c r="R88" s="39">
        <f t="shared" si="67"/>
        <v>22077.619200000001</v>
      </c>
      <c r="S88" s="39">
        <f t="shared" si="67"/>
        <v>100</v>
      </c>
      <c r="T88" s="39">
        <f t="shared" si="67"/>
        <v>200</v>
      </c>
      <c r="U88" s="39">
        <f t="shared" si="6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5">M93/10</f>
        <v>256.27126464843752</v>
      </c>
      <c r="N89" s="39">
        <f t="shared" si="75"/>
        <v>63276855.46875</v>
      </c>
      <c r="O89" s="39">
        <f t="shared" ref="O89:U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7560</v>
      </c>
      <c r="S89" s="39">
        <f t="shared" si="76"/>
        <v>100</v>
      </c>
      <c r="T89" s="39">
        <f t="shared" si="76"/>
        <v>200</v>
      </c>
      <c r="U89" s="39">
        <f t="shared" si="7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7">M94/10</f>
        <v>697.6985180053714</v>
      </c>
      <c r="N90" s="39">
        <f t="shared" si="77"/>
        <v>172271239.01367193</v>
      </c>
      <c r="O90" s="39">
        <f t="shared" ref="O90:U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18398.016</v>
      </c>
      <c r="S90" s="39">
        <f t="shared" si="78"/>
        <v>100</v>
      </c>
      <c r="T90" s="39">
        <f t="shared" si="78"/>
        <v>200</v>
      </c>
      <c r="U90" s="39">
        <f t="shared" si="7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9">M95/10</f>
        <v>1813.1440236664596</v>
      </c>
      <c r="N91" s="39">
        <f t="shared" si="79"/>
        <v>447689882.38678008</v>
      </c>
      <c r="O91" s="39">
        <f t="shared" ref="O91:U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48217.520332799992</v>
      </c>
      <c r="S91" s="39">
        <f t="shared" si="80"/>
        <v>100</v>
      </c>
      <c r="T91" s="39">
        <f t="shared" si="80"/>
        <v>200</v>
      </c>
      <c r="U91" s="39">
        <f t="shared" si="8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81">M96/10</f>
        <v>2193.9042686364164</v>
      </c>
      <c r="N92" s="39">
        <f t="shared" si="81"/>
        <v>541704757.68800402</v>
      </c>
      <c r="O92" s="39">
        <f t="shared" ref="O92:U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181970.60729501117</v>
      </c>
      <c r="S92" s="39">
        <f t="shared" si="82"/>
        <v>100</v>
      </c>
      <c r="T92" s="39">
        <f t="shared" si="82"/>
        <v>200</v>
      </c>
      <c r="U92" s="39">
        <f t="shared" si="8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3">M81*1.05</f>
        <v>2562.712646484375</v>
      </c>
      <c r="N93" s="39">
        <f t="shared" si="8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4">M83*1.05</f>
        <v>6976.9851800537135</v>
      </c>
      <c r="N94" s="39">
        <f t="shared" si="84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5">M85*1.05</f>
        <v>18131.440236664595</v>
      </c>
      <c r="N95" s="39">
        <f t="shared" si="85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M96:N96" si="86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10</v>
      </c>
      <c r="S97" s="39">
        <f t="shared" si="87"/>
        <v>1</v>
      </c>
      <c r="T97" s="39">
        <f t="shared" si="87"/>
        <v>200</v>
      </c>
      <c r="U97" s="39">
        <f t="shared" si="8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10</v>
      </c>
      <c r="S98" s="39">
        <f t="shared" si="8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9">
        <f t="shared" si="8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1" si="89">M62*1.25</f>
        <v>11326.27464294434</v>
      </c>
      <c r="N100">
        <f t="shared" si="89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90">M88*1.05</f>
        <v>24132.946955000578</v>
      </c>
      <c r="N109">
        <f t="shared" si="90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34634.751145955233</v>
      </c>
      <c r="N111">
        <f>N74*1.3</f>
        <v>4750994670.2270536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22077.619200000001</v>
      </c>
      <c r="S111" s="53">
        <f t="shared" si="91"/>
        <v>100</v>
      </c>
      <c r="T111" s="53">
        <f t="shared" si="91"/>
        <v>200</v>
      </c>
      <c r="U111" s="53">
        <f t="shared" si="91"/>
        <v>150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2">M111*1.02</f>
        <v>35327.446168874339</v>
      </c>
      <c r="N112">
        <f t="shared" si="92"/>
        <v>4846014563.6315947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22077.619200000001</v>
      </c>
      <c r="S112" s="53">
        <f t="shared" si="93"/>
        <v>100</v>
      </c>
      <c r="T112" s="53">
        <f t="shared" si="93"/>
        <v>200</v>
      </c>
      <c r="U112" s="53">
        <f t="shared" si="93"/>
        <v>150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94">L112*1.02</f>
        <v>2471467427.4521132</v>
      </c>
      <c r="M113">
        <f t="shared" ref="M113:M114" si="95">M112*1.02</f>
        <v>36033.995092251826</v>
      </c>
      <c r="N113">
        <f t="shared" ref="N113:N114" si="96">N112*1.02</f>
        <v>4942934854.9042263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22077.619200000001</v>
      </c>
      <c r="S113" s="53">
        <f t="shared" si="93"/>
        <v>100</v>
      </c>
      <c r="T113" s="53">
        <f t="shared" si="93"/>
        <v>200</v>
      </c>
      <c r="U113" s="53">
        <f t="shared" si="93"/>
        <v>150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94"/>
        <v>2520896776.0011554</v>
      </c>
      <c r="M114">
        <f t="shared" si="95"/>
        <v>36754.674994096866</v>
      </c>
      <c r="N114">
        <f t="shared" si="96"/>
        <v>5041793552.0023108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22077.619200000001</v>
      </c>
      <c r="S114" s="53">
        <f t="shared" si="93"/>
        <v>100</v>
      </c>
      <c r="T114" s="53">
        <f t="shared" si="93"/>
        <v>200</v>
      </c>
      <c r="U114" s="53">
        <f t="shared" si="93"/>
        <v>150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2019-07-06T06:11:28Z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