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06F5D04-0010-45D7-B0B4-A4DDA71D60A4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T98" i="29"/>
  <c r="Q98" i="29"/>
  <c r="P98" i="29"/>
  <c r="O98" i="29"/>
  <c r="M98" i="29"/>
  <c r="L98" i="29"/>
  <c r="Y97" i="29"/>
  <c r="X97" i="29"/>
  <c r="W97" i="29"/>
  <c r="V97" i="29"/>
  <c r="U97" i="29"/>
  <c r="T97" i="29"/>
  <c r="Q97" i="29"/>
  <c r="P97" i="29"/>
  <c r="O97" i="29"/>
  <c r="M97" i="29"/>
  <c r="L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6" i="29"/>
  <c r="R48" i="29" s="1"/>
  <c r="R71" i="29" s="1"/>
  <c r="N6" i="29"/>
  <c r="N36" i="29" s="1"/>
  <c r="S5" i="29"/>
  <c r="S47" i="29" s="1"/>
  <c r="N5" i="29"/>
  <c r="N47" i="29" s="1"/>
  <c r="S4" i="29"/>
  <c r="S35" i="29" s="1"/>
  <c r="R4" i="29"/>
  <c r="N4" i="29"/>
  <c r="N98" i="29" s="1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5" i="29"/>
  <c r="R47" i="29" s="1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97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<sst xmlns="http://schemas.openxmlformats.org/spreadsheetml/2006/main" count="775" uniqueCount="386">
  <si>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</si>
  <si>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</si>
  <si>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</si>
  <si>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</si>
  <si>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</si>
  <si>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</si>
  <si>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</si>
  <si>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</si>
  <si>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</si>
  <si>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</si>
  <si>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</si>
  <si>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</si>
  <si>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</si>
  <si>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</si>
  <si>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</si>
  <si>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</si>
  <si>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</si>
  <si>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</si>
  <si>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</si>
  <si>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</si>
  <si>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</si>
  <si>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</si>
  <si>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</si>
  <si>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</si>
  <si>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</si>
  <si>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</si>
  <si>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</si>
  <si>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</si>
  <si>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</si>
  <si>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</si>
  <si>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</si>
  <si>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</si>
  <si>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</si>
  <si>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</si>
  <si>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</si>
  <si>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</si>
  <si>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</si>
  <si>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</si>
  <si>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</si>
  <si>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</si>
  <si>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</si>
  <si>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</si>
  <si>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</si>
  <si>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</si>
  <si>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</si>
  <si>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</si>
  <si>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</si>
  <si>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</si>
  <si>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</si>
  <si>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</si>
  <si>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</si>
  <si>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</si>
  <si>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</si>
  <si>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</si>
  <si>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</si>
  <si>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</si>
  <si>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</si>
  <si>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</si>
  <si>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</si>
  <si>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</si>
  <si>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</si>
  <si>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</si>
  <si>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</si>
  <si>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</si>
  <si>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</si>
  <si>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</si>
  <si>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</si>
  <si>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</si>
  <si>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</si>
  <si>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</si>
  <si>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</si>
  <si>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</si>
  <si>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</si>
  <si>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</si>
  <si>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</si>
  <si>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</si>
  <si>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</si>
  <si>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</si>
  <si>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</si>
  <si>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</si>
  <si>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</si>
  <si>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</si>
  <si>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</si>
  <si>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</si>
  <si>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</si>
  <si>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</si>
  <si>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</si>
  <si>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</si>
  <si>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</si>
  <si>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</si>
  <si>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</si>
  <si>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</si>
  <si>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</si>
  <si>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</si>
  <si>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</si>
  <si>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</si>
  <si>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</si>
  <si>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</si>
  <si>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</si>
  <si>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</si>
  <si>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</si>
  <si>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</si>
  <si>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</si>
  <si>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</si>
  <si>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</si>
  <si>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</si>
  <si>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</si>
  <si>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</si>
  <si>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</si>
  <si>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</si>
  <si>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</si>
  <si>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</si>
  <si>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</si>
  <si>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</si>
  <si>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</si>
  <si>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</si>
  <si>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</si>
  <si>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</si>
  <si>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</si>
  <si>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</si>
  <si>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</si>
  <si>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</si>
  <si>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</si>
  <si>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</si>
  <si>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</si>
  <si>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</si>
  <si>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</si>
  <si>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</si>
  <si>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</si>
  <si>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</si>
  <si>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</si>
  <si>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</si>
  <si>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</si>
  <si>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</si>
  <si>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</si>
  <si>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</si>
  <si>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</si>
  <si>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</si>
  <si>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</si>
  <si>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</si>
  <si>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</si>
  <si>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</si>
  <si>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</si>
  <si>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</si>
  <si>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</si>
  <si>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</si>
  <si>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</si>
  <si>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</si>
  <si>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</si>
  <si>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</si>
  <si>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</si>
  <si>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</si>
  <si>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</si>
  <si>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</si>
  <si>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</si>
  <si>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</si>
  <si>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</si>
  <si>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</si>
  <si>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</si>
  <si>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</si>
  <si>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</si>
  <si>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</si>
  <si>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</si>
  <si>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</si>
  <si>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</si>
  <si>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</si>
  <si>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</si>
  <si>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</si>
  <si>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</si>
  <si>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</si>
  <si>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</si>
  <si>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</si>
  <si>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</si>
  <si>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</si>
  <si>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</si>
  <si>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</si>
  <si>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</si>
  <si>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</si>
  <si>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</si>
  <si>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</si>
  <si>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</si>
  <si>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</si>
  <si>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</si>
  <si>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</si>
  <si>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</si>
  <si>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</si>
  <si>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</si>
  <si>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</si>
  <si>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</si>
  <si>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</si>
  <si>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</si>
  <si>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</si>
  <si>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</si>
  <si>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</si>
  <si>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</si>
  <si>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</si>
  <si>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</si>
  <si>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</si>
  <si>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</si>
  <si>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</si>
  <si>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</si>
  <si>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</si>
  <si>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</si>
  <si>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</si>
  <si>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</si>
  <si>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</si>
  <si>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</si>
  <si>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</si>
  <si>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</si>
  <si>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</si>
  <si>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</si>
  <si>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</si>
  <si>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</si>
  <si>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</si>
  <si>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</si>
  <si>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</si>
  <si>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</si>
  <si>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</si>
  <si>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</si>
  <si>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</si>
  <si>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</si>
  <si>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</si>
  <si>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</si>
  <si>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</si>
  <si>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</si>
  <si>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</si>
  <si>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</si>
  <si>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</si>
  <si>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</si>
  <si>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</si>
  <si>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</si>
  <si>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</si>
  <si>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</si>
  <si>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</si>
  <si>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</si>
  <si>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</si>
  <si>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</si>
  <si>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</si>
  <si>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</si>
  <si>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</si>
  <si>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</si>
  <si>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</si>
  <si>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</si>
  <si>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</si>
  <si>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</si>
  <si>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</si>
  <si>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</si>
  <si>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</si>
  <si>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</si>
  <si>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</si>
  <si>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</si>
  <si>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</si>
  <si>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</si>
  <si>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</si>
  <si>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</si>
  <si>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</si>
  <si>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</si>
  <si>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</si>
  <si>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</si>
  <si>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</si>
  <si>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</si>
  <si>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</si>
  <si>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</si>
  <si>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</si>
  <si>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</si>
  <si>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</si>
  <si>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</si>
  <si>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</si>
  <si>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</si>
  <si>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</si>
  <si>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</si>
  <si>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</si>
  <si>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</si>
  <si>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</si>
  <si>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</si>
  <si>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</si>
  <si>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</si>
  <si>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</si>
  <si>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</si>
  <si>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</si>
  <si>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</si>
  <si>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</si>
  <si>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</si>
  <si>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</si>
  <si>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</si>
  <si>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</si>
  <si>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</si>
  <si>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</si>
  <si>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</si>
  <si>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</si>
  <si>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</si>
  <si>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</si>
  <si>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</si>
  <si>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</si>
  <si>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</si>
  <si>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</si>
  <si>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</si>
  <si>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</si>
  <si>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</si>
  <si>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</si>
  <si>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</si>
  <si>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</si>
  <si>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</si>
  <si>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</si>
  <si>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</si>
  <si>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</si>
  <si>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</si>
  <si>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</si>
  <si>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</si>
  <si>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</si>
  <si>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</si>
  <si>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</si>
  <si>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</si>
  <si>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</si>
  <si>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</si>
  <si>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</si>
  <si>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</si>
  <si>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</si>
  <si>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</si>
  <si>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</si>
  <si>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</si>
  <si>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</si>
  <si>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</si>
  <si>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</si>
  <si>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</si>
  <si>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</si>
  <si>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</si>
  <si>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</si>
  <si>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</si>
  <si>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</si>
  <si>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</si>
  <si>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</si>
  <si>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</si>
  <si>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</si>
  <si>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</si>
  <si>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</si>
  <si>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</si>
  <si>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</si>
  <si>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</si>
  <si>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</si>
  <si>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</si>
  <si>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</si>
  <si>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</si>
  <si>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</si>
  <si>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</si>
  <si>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</si>
  <si>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</si>
  <si>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</si>
  <si>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</si>
  <si>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</si>
  <si>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</si>
  <si>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</si>
  <si>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</si>
  <si>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</si>
  <si>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</si>
  <si>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</si>
  <si>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</si>
  <si>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</si>
  <si>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</si>
  <si>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</si>
  <si>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</si>
  <si>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</si>
  <si>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</si>
  <si>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物爆几率</t>
  </si>
  <si>
    <t>物爆伤害</t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</si>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</sst>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85" activePane="bottomRight" state="frozen"/>
      <selection pane="topRight"/>
      <selection pane="bottomLeft"/>
      <selection pane="bottomRight" activeCell="G99" sqref="G99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385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354</v>
      </c>
      <c r="C4" s="31" t="s">
        <v>351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352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383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382</v>
      </c>
      <c r="B34" s="11" t="s">
        <v>136</v>
      </c>
      <c r="C34" s="30" t="s">
        <v>45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351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384</v>
      </c>
      <c r="C43" s="30" t="s">
        <v>353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353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353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1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1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1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1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1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1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45</v>
      </c>
      <c r="D58" s="3" t="s">
        <v>321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323</v>
      </c>
      <c r="F60" s="2"/>
      <c r="G60" s="3">
        <v>1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324</v>
      </c>
      <c r="F61" s="2"/>
      <c r="G61" s="3">
        <v>1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45</v>
      </c>
      <c r="D62" s="3" t="s">
        <v>325</v>
      </c>
      <c r="F62" s="2"/>
      <c r="G62" s="3">
        <v>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326</v>
      </c>
      <c r="F63" s="2"/>
      <c r="G63" s="3">
        <v>1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327</v>
      </c>
      <c r="F64" s="2"/>
      <c r="G64" s="3">
        <v>1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328</v>
      </c>
      <c r="F65" s="2"/>
      <c r="G65" s="3">
        <v>1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329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330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331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332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333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334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335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336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337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338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339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340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341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378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342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343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344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345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346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347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348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349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350</v>
      </c>
      <c r="G97" s="3">
        <v>1</v>
      </c>
      <c r="I97" s="3">
        <v>20</v>
      </c>
    </row>
    <row r="98" spans="1:9" ht="15" x14ac:dyDescent="0.15">
      <c r="A98" s="3" t="s">
        <v>355</v>
      </c>
      <c r="B98" s="11" t="s">
        <v>357</v>
      </c>
      <c r="C98" s="30" t="s">
        <v>45</v>
      </c>
      <c r="D98" s="26" t="s">
        <v>356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D1" workbookViewId="0">
      <pane ySplit="3" topLeftCell="A76" activePane="bottomLeft" state="frozen"/>
      <selection activeCell="D1" sqref="D1"/>
      <selection pane="bottomLeft" activeCell="H97" sqref="H97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367</v>
      </c>
      <c r="L1" s="12" t="s">
        <v>377</v>
      </c>
      <c r="M1" s="12" t="s">
        <v>377</v>
      </c>
      <c r="N1" s="12" t="s">
        <v>377</v>
      </c>
      <c r="O1" s="12" t="s">
        <v>377</v>
      </c>
      <c r="P1" s="12" t="s">
        <v>377</v>
      </c>
      <c r="Q1" s="12" t="s">
        <v>377</v>
      </c>
      <c r="R1" s="12" t="s">
        <v>377</v>
      </c>
      <c r="S1" s="12" t="s">
        <v>377</v>
      </c>
      <c r="T1" s="12" t="s">
        <v>377</v>
      </c>
      <c r="U1" s="12" t="s">
        <v>377</v>
      </c>
      <c r="V1" s="12" t="s">
        <v>377</v>
      </c>
      <c r="W1" s="12" t="s">
        <v>377</v>
      </c>
      <c r="X1" s="12" t="s">
        <v>377</v>
      </c>
      <c r="Y1" s="12" t="s">
        <v>377</v>
      </c>
      <c r="Z1" s="6" t="s">
        <v>368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359</v>
      </c>
      <c r="H2" s="13" t="s">
        <v>360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379</v>
      </c>
      <c r="D3" s="1" t="s">
        <v>219</v>
      </c>
      <c r="E3" s="23" t="s">
        <v>198</v>
      </c>
      <c r="F3" s="7" t="s">
        <v>187</v>
      </c>
      <c r="G3" s="8" t="s">
        <v>361</v>
      </c>
      <c r="H3" s="8" t="s">
        <v>362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363</v>
      </c>
      <c r="W3" s="42" t="s">
        <v>364</v>
      </c>
      <c r="X3" s="42" t="s">
        <v>365</v>
      </c>
      <c r="Y3" s="42" t="s">
        <v>366</v>
      </c>
    </row>
    <row r="4" spans="1:26" ht="15" x14ac:dyDescent="0.15">
      <c r="A4" s="30" t="s">
        <v>36</v>
      </c>
      <c r="B4" s="11" t="s">
        <v>354</v>
      </c>
      <c r="C4" s="12" t="s">
        <v>358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369</v>
      </c>
      <c r="K4" s="38"/>
      <c r="L4" s="39">
        <v>50</v>
      </c>
      <c r="M4" s="39">
        <v>0.5</v>
      </c>
      <c r="N4" s="39">
        <f t="shared" ref="N4:N28" si="0">L4*5</f>
        <v>250</v>
      </c>
      <c r="O4" s="39">
        <v>100</v>
      </c>
      <c r="P4" s="39">
        <v>350</v>
      </c>
      <c r="Q4" s="40">
        <v>1</v>
      </c>
      <c r="R4" s="39">
        <f t="shared" ref="R4:R34" si="1">N4*0.0001</f>
        <v>2.5000000000000001E-2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358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370</v>
      </c>
      <c r="K5" s="38"/>
      <c r="L5" s="39">
        <v>250</v>
      </c>
      <c r="M5" s="39">
        <v>2.5</v>
      </c>
      <c r="N5" s="39">
        <f t="shared" si="0"/>
        <v>1250</v>
      </c>
      <c r="O5" s="39">
        <v>100</v>
      </c>
      <c r="P5" s="39">
        <v>350</v>
      </c>
      <c r="Q5" s="40">
        <v>1</v>
      </c>
      <c r="R5" s="39">
        <f t="shared" si="1"/>
        <v>0.125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358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v>1250</v>
      </c>
      <c r="M6" s="39">
        <v>5</v>
      </c>
      <c r="N6" s="39">
        <f t="shared" si="0"/>
        <v>6250</v>
      </c>
      <c r="O6" s="39">
        <v>100</v>
      </c>
      <c r="P6" s="39">
        <v>350</v>
      </c>
      <c r="Q6" s="40">
        <v>1</v>
      </c>
      <c r="R6" s="39">
        <f t="shared" si="1"/>
        <v>0.625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358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371</v>
      </c>
      <c r="K7" s="38"/>
      <c r="L7" s="39">
        <v>6250</v>
      </c>
      <c r="M7" s="39">
        <v>25</v>
      </c>
      <c r="N7" s="39">
        <f t="shared" si="0"/>
        <v>31250</v>
      </c>
      <c r="O7" s="39">
        <v>1000</v>
      </c>
      <c r="P7" s="39">
        <v>350</v>
      </c>
      <c r="Q7" s="40">
        <v>1</v>
      </c>
      <c r="R7" s="39">
        <f t="shared" si="1"/>
        <v>3.125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358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372</v>
      </c>
      <c r="K8" s="38"/>
      <c r="L8" s="39">
        <v>31250</v>
      </c>
      <c r="M8" s="39">
        <v>50</v>
      </c>
      <c r="N8" s="39">
        <f t="shared" si="0"/>
        <v>156250</v>
      </c>
      <c r="O8" s="39">
        <v>1000</v>
      </c>
      <c r="P8" s="39">
        <v>350</v>
      </c>
      <c r="Q8" s="40">
        <v>1</v>
      </c>
      <c r="R8" s="39">
        <f t="shared" si="1"/>
        <v>15.625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358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v>62500</v>
      </c>
      <c r="M9" s="39">
        <v>250</v>
      </c>
      <c r="N9" s="39">
        <f t="shared" si="0"/>
        <v>312500</v>
      </c>
      <c r="O9" s="39">
        <v>10000</v>
      </c>
      <c r="P9" s="39">
        <v>350</v>
      </c>
      <c r="Q9" s="40">
        <v>1</v>
      </c>
      <c r="R9" s="39">
        <f t="shared" si="1"/>
        <v>31.25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358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373</v>
      </c>
      <c r="K10" s="38"/>
      <c r="L10" s="39">
        <v>125000</v>
      </c>
      <c r="M10" s="39">
        <v>500</v>
      </c>
      <c r="N10" s="39">
        <f t="shared" si="0"/>
        <v>625000</v>
      </c>
      <c r="O10" s="39">
        <v>10000</v>
      </c>
      <c r="P10" s="39">
        <v>350</v>
      </c>
      <c r="Q10" s="40">
        <v>1</v>
      </c>
      <c r="R10" s="39">
        <f t="shared" si="1"/>
        <v>62.5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358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374</v>
      </c>
      <c r="K11" s="38"/>
      <c r="L11" s="39">
        <v>250000</v>
      </c>
      <c r="M11" s="39">
        <v>1500</v>
      </c>
      <c r="N11" s="39">
        <f t="shared" si="0"/>
        <v>1250000</v>
      </c>
      <c r="O11" s="39">
        <v>10000</v>
      </c>
      <c r="P11" s="39">
        <v>350</v>
      </c>
      <c r="Q11" s="40">
        <v>1</v>
      </c>
      <c r="R11" s="39">
        <f t="shared" si="1"/>
        <v>125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358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v>500000</v>
      </c>
      <c r="M12" s="39">
        <v>2000</v>
      </c>
      <c r="N12" s="39">
        <f t="shared" si="0"/>
        <v>2500000</v>
      </c>
      <c r="O12" s="39">
        <v>10000</v>
      </c>
      <c r="P12" s="39">
        <v>350</v>
      </c>
      <c r="Q12" s="40">
        <v>1</v>
      </c>
      <c r="R12" s="39">
        <f t="shared" si="1"/>
        <v>250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358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376</v>
      </c>
      <c r="K13" s="38"/>
      <c r="L13" s="39">
        <v>1000000</v>
      </c>
      <c r="M13" s="39">
        <v>2500</v>
      </c>
      <c r="N13" s="39">
        <f t="shared" si="0"/>
        <v>5000000</v>
      </c>
      <c r="O13" s="39">
        <v>10000</v>
      </c>
      <c r="P13" s="39">
        <v>350</v>
      </c>
      <c r="Q13" s="40">
        <v>1</v>
      </c>
      <c r="R13" s="39">
        <f t="shared" si="1"/>
        <v>500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358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376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358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375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358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375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358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375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358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375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358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375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358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375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358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375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358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375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358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375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358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375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358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375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358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375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358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375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358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375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380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1"/>
        <v>78.125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380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1"/>
        <v>2500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380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380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380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380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358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50</v>
      </c>
      <c r="M35" s="43">
        <f t="shared" ref="M35:U35" si="3">M4</f>
        <v>0.5</v>
      </c>
      <c r="N35" s="43">
        <f t="shared" si="3"/>
        <v>250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2.5000000000000001E-2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358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0.625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358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358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358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358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358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358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358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358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260</v>
      </c>
      <c r="B45" s="11" t="s">
        <v>147</v>
      </c>
      <c r="C45" s="12" t="s">
        <v>358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261</v>
      </c>
      <c r="B46" s="11" t="s">
        <v>148</v>
      </c>
      <c r="C46" s="12" t="s">
        <v>380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150</v>
      </c>
      <c r="M46" s="43">
        <f>M4*3</f>
        <v>1.5</v>
      </c>
      <c r="N46" s="43">
        <f>N4*3</f>
        <v>750</v>
      </c>
      <c r="O46" s="43">
        <f>O4*3</f>
        <v>300</v>
      </c>
      <c r="P46" s="39">
        <f>P4</f>
        <v>350</v>
      </c>
      <c r="Q46" s="40">
        <v>0.75</v>
      </c>
      <c r="R46" s="39">
        <f>R4</f>
        <v>2.5000000000000001E-2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380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0.125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380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0.625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380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380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380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380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380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380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380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380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380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380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380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380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380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380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380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380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380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380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380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380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380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380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381</v>
      </c>
      <c r="B71" s="11" t="s">
        <v>173</v>
      </c>
      <c r="C71" s="12" t="s">
        <v>380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0.625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380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380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380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380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380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380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380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380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380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380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380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380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380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380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380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380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380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380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301</v>
      </c>
      <c r="B90" s="11" t="s">
        <v>223</v>
      </c>
      <c r="C90" s="12" t="s">
        <v>380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302</v>
      </c>
      <c r="B91" s="11" t="s">
        <v>224</v>
      </c>
      <c r="C91" s="12" t="s">
        <v>380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303</v>
      </c>
      <c r="B92" s="11" t="s">
        <v>225</v>
      </c>
      <c r="C92" s="12" t="s">
        <v>380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304</v>
      </c>
      <c r="B93" s="11" t="s">
        <v>226</v>
      </c>
      <c r="C93" s="12" t="s">
        <v>380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305</v>
      </c>
      <c r="B94" s="11" t="s">
        <v>227</v>
      </c>
      <c r="C94" s="12" t="s">
        <v>380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306</v>
      </c>
      <c r="B95" s="11" t="s">
        <v>228</v>
      </c>
      <c r="C95" s="12" t="s">
        <v>380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307</v>
      </c>
      <c r="B96" s="11" t="s">
        <v>229</v>
      </c>
      <c r="C96" s="12" t="s">
        <v>380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308</v>
      </c>
      <c r="B97" s="11" t="s">
        <v>230</v>
      </c>
      <c r="C97" s="12" t="s">
        <v>358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f>L4/2</f>
        <v>25</v>
      </c>
      <c r="M97" s="43">
        <f>M4/2</f>
        <v>0.25</v>
      </c>
      <c r="N97" s="43">
        <f>N4/2</f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2.5000000000000001E-2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355</v>
      </c>
      <c r="B98" s="11" t="s">
        <v>357</v>
      </c>
      <c r="C98" s="12" t="s">
        <v>380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f>L4</f>
        <v>50</v>
      </c>
      <c r="M98" s="43">
        <f t="shared" ref="M98:Y98" si="39">M4</f>
        <v>0.5</v>
      </c>
      <c r="N98" s="43">
        <f t="shared" si="39"/>
        <v>250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2.5000000000000001E-2</v>
      </c>
      <c r="S98" s="43">
        <f t="shared" si="39"/>
        <v>1</v>
      </c>
      <c r="T98" s="43">
        <f t="shared" si="39"/>
        <v>200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2019-05-28T05:20:31Z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