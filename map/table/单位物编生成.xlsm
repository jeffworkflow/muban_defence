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419896FC-8BF0-4D56-A381-FEAE386AB80A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43" i="29" l="1"/>
  <c r="N43" i="29"/>
  <c r="L45" i="29"/>
  <c r="L44" i="29"/>
  <c r="L43" i="29"/>
  <c r="L40" i="29" s="1"/>
  <c r="N40" i="29"/>
  <c r="N44" i="29" s="1"/>
  <c r="M40" i="29"/>
  <c r="M44" i="29" s="1"/>
  <c r="L41" i="29" l="1"/>
  <c r="M41" i="29"/>
  <c r="M45" i="29" s="1"/>
  <c r="M109" i="29"/>
  <c r="N109" i="29"/>
  <c r="L109" i="29"/>
  <c r="M14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L74" i="29"/>
  <c r="M57" i="29"/>
  <c r="N57" i="29"/>
  <c r="L57" i="29"/>
  <c r="M65" i="29"/>
  <c r="M64" i="29"/>
  <c r="L56" i="29"/>
  <c r="L55" i="29"/>
  <c r="L54" i="29"/>
  <c r="L53" i="29"/>
  <c r="L33" i="29"/>
  <c r="L34" i="29" s="1"/>
  <c r="M34" i="29"/>
  <c r="N34" i="29"/>
  <c r="M15" i="29"/>
  <c r="M16" i="29" s="1"/>
  <c r="M17" i="29" s="1"/>
  <c r="M18" i="29" s="1"/>
  <c r="N15" i="29"/>
  <c r="N16" i="29"/>
  <c r="N17" i="29" s="1"/>
  <c r="N18" i="29" s="1"/>
  <c r="M29" i="29"/>
  <c r="N29" i="29"/>
  <c r="M30" i="29"/>
  <c r="N30" i="29"/>
  <c r="L15" i="29"/>
  <c r="N14" i="29"/>
  <c r="L14" i="29"/>
  <c r="M42" i="29" l="1"/>
  <c r="N19" i="29"/>
  <c r="N20" i="29" s="1"/>
  <c r="N21" i="29" s="1"/>
  <c r="N22" i="29" s="1"/>
  <c r="N23" i="29" s="1"/>
  <c r="N31" i="29"/>
  <c r="M19" i="29"/>
  <c r="M20" i="29" s="1"/>
  <c r="M21" i="29" s="1"/>
  <c r="M22" i="29" s="1"/>
  <c r="M23" i="29" s="1"/>
  <c r="M31" i="29"/>
  <c r="M111" i="29"/>
  <c r="M112" i="29" s="1"/>
  <c r="M113" i="29" s="1"/>
  <c r="M114" i="29" s="1"/>
  <c r="N24" i="29" l="1"/>
  <c r="N25" i="29" s="1"/>
  <c r="N26" i="29" s="1"/>
  <c r="N27" i="29" s="1"/>
  <c r="N28" i="29" s="1"/>
  <c r="N32" i="29"/>
  <c r="N33" i="29" s="1"/>
  <c r="M32" i="29"/>
  <c r="M33" i="29" s="1"/>
  <c r="M24" i="29"/>
  <c r="M25" i="29" s="1"/>
  <c r="M26" i="29" s="1"/>
  <c r="M27" i="29" s="1"/>
  <c r="M28" i="29" s="1"/>
  <c r="Q111" i="29"/>
  <c r="Q112" i="29" s="1"/>
  <c r="V111" i="29"/>
  <c r="V112" i="29" s="1"/>
  <c r="W111" i="29"/>
  <c r="W112" i="29" s="1"/>
  <c r="X111" i="29"/>
  <c r="X112" i="29" s="1"/>
  <c r="X99" i="29" l="1"/>
  <c r="U99" i="29"/>
  <c r="Q99" i="29"/>
  <c r="P99" i="29"/>
  <c r="O99" i="29"/>
  <c r="N39" i="29" l="1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V114" i="29"/>
  <c r="V113" i="29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W113" i="29"/>
  <c r="W114" i="29" s="1"/>
  <c r="Q113" i="29"/>
  <c r="Q114" i="29" s="1"/>
  <c r="N49" i="29"/>
  <c r="X113" i="29"/>
  <c r="X114" i="29" s="1"/>
  <c r="P114" i="29"/>
  <c r="P113" i="29"/>
  <c r="N9" i="29"/>
  <c r="N10" i="29" s="1"/>
  <c r="R9" i="29"/>
  <c r="R51" i="29" s="1"/>
  <c r="R72" i="29" s="1"/>
  <c r="R100" i="29" s="1"/>
  <c r="L9" i="29"/>
  <c r="L10" i="29" s="1"/>
  <c r="L11" i="29" s="1"/>
  <c r="L12" i="29" s="1"/>
  <c r="L13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1" i="29" l="1"/>
  <c r="N45" i="29" s="1"/>
  <c r="L42" i="29"/>
  <c r="N11" i="29"/>
  <c r="R10" i="29"/>
  <c r="R52" i="29" s="1"/>
  <c r="R80" i="29" s="1"/>
  <c r="R43" i="29" s="1"/>
  <c r="L51" i="29"/>
  <c r="L52" i="29" s="1"/>
  <c r="L16" i="29"/>
  <c r="L17" i="29" s="1"/>
  <c r="L18" i="29" s="1"/>
  <c r="P86" i="29"/>
  <c r="N42" i="29" l="1"/>
  <c r="L72" i="29"/>
  <c r="L79" i="29"/>
  <c r="L31" i="29"/>
  <c r="L30" i="29" s="1"/>
  <c r="L19" i="29"/>
  <c r="N12" i="29"/>
  <c r="R11" i="29"/>
  <c r="R53" i="29" s="1"/>
  <c r="R12" i="29" l="1"/>
  <c r="R54" i="29" s="1"/>
  <c r="R82" i="29" s="1"/>
  <c r="N13" i="29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L64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73" i="29"/>
  <c r="L83" i="29"/>
  <c r="L94" i="29" s="1"/>
  <c r="L68" i="29"/>
  <c r="L27" i="29"/>
  <c r="L69" i="29" l="1"/>
  <c r="L28" i="29"/>
  <c r="L70" i="29" s="1"/>
  <c r="L32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<sst xmlns="http://schemas.openxmlformats.org/spreadsheetml/2006/main" count="859" uniqueCount="440">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</sst>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E30" sqref="E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zoomScaleNormal="100" workbookViewId="0">
      <pane ySplit="3" topLeftCell="A4" activePane="bottomLeft" state="frozen"/>
      <selection activeCell="D1" sqref="D1"/>
      <selection pane="bottomLeft" activeCell="G34" sqref="G34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10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10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10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10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10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>N8*2</f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10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>N9*1.5</f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10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>N10*1.5</f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10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24300000</v>
      </c>
      <c r="M12" s="35">
        <v>972</v>
      </c>
      <c r="N12" s="35">
        <f>N11*1.5</f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10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>N12*1.3</f>
        <v>70200000</v>
      </c>
      <c r="O13" s="35">
        <v>10000</v>
      </c>
      <c r="P13" s="35">
        <v>395</v>
      </c>
      <c r="Q13" s="36">
        <v>0.9</v>
      </c>
      <c r="R13" s="35">
        <f t="shared" si="0"/>
        <v>7020</v>
      </c>
      <c r="S13" s="35">
        <f t="shared" si="1"/>
        <v>100</v>
      </c>
      <c r="T13" s="37">
        <v>200</v>
      </c>
      <c r="U13" s="7">
        <v>100</v>
      </c>
      <c r="V13" s="42">
        <v>10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L13*1.4</f>
        <v>51030000</v>
      </c>
      <c r="M14" s="35">
        <f>M13*1.4</f>
        <v>1769.0400000000002</v>
      </c>
      <c r="N14" s="35">
        <f t="shared" ref="N14" si="2">N13*1.4</f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10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66339000</v>
      </c>
      <c r="M15" s="35">
        <f t="shared" ref="M15:N15" si="3">M14*1.3</f>
        <v>2299.7520000000004</v>
      </c>
      <c r="N15" s="35">
        <f t="shared" si="3"/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10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4">L15*1.2</f>
        <v>79606800</v>
      </c>
      <c r="M16" s="35">
        <f t="shared" ref="M16:N16" si="5">M15*1.2</f>
        <v>2759.7024000000006</v>
      </c>
      <c r="N16" s="35">
        <f t="shared" si="5"/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10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4"/>
        <v>95528160</v>
      </c>
      <c r="M17" s="35">
        <f t="shared" ref="M17:N17" si="6">M16*1.2</f>
        <v>3311.6428800000008</v>
      </c>
      <c r="N17" s="35">
        <f t="shared" si="6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10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4"/>
        <v>114633792</v>
      </c>
      <c r="M18" s="35">
        <f t="shared" ref="M18:N18" si="7">M17*1.2</f>
        <v>3973.9714560000007</v>
      </c>
      <c r="N18" s="35">
        <f t="shared" si="7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10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si="4"/>
        <v>137560550.40000001</v>
      </c>
      <c r="M19" s="35">
        <f t="shared" ref="M19:N19" si="8">M18*1.2</f>
        <v>4768.765747200001</v>
      </c>
      <c r="N19" s="35">
        <f t="shared" si="8"/>
        <v>264931430.39999998</v>
      </c>
      <c r="O19" s="35">
        <v>10000</v>
      </c>
      <c r="P19" s="35">
        <v>425</v>
      </c>
      <c r="Q19" s="36">
        <v>0.9</v>
      </c>
      <c r="R19" s="35">
        <f t="shared" si="0"/>
        <v>26493.143039999999</v>
      </c>
      <c r="S19" s="35">
        <f t="shared" si="1"/>
        <v>100</v>
      </c>
      <c r="T19" s="37">
        <v>200</v>
      </c>
      <c r="U19" s="7">
        <v>200</v>
      </c>
      <c r="V19" s="42">
        <v>10</v>
      </c>
      <c r="W19" s="42">
        <v>2000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4"/>
        <v>165072660.47999999</v>
      </c>
      <c r="M20" s="35">
        <f t="shared" ref="M20:N20" si="9">M19*1.2</f>
        <v>5722.518896640001</v>
      </c>
      <c r="N20" s="35">
        <f t="shared" si="9"/>
        <v>317917716.47999996</v>
      </c>
      <c r="O20" s="35">
        <v>10000</v>
      </c>
      <c r="P20" s="35">
        <v>430</v>
      </c>
      <c r="Q20" s="36">
        <v>0.9</v>
      </c>
      <c r="R20" s="35">
        <f t="shared" si="0"/>
        <v>31791.771647999998</v>
      </c>
      <c r="S20" s="35">
        <f t="shared" si="1"/>
        <v>100</v>
      </c>
      <c r="T20" s="37">
        <v>200</v>
      </c>
      <c r="U20" s="7">
        <v>200</v>
      </c>
      <c r="V20" s="42">
        <v>10</v>
      </c>
      <c r="W20" s="42">
        <v>2000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4"/>
        <v>198087192.57599998</v>
      </c>
      <c r="M21" s="35">
        <f t="shared" ref="M21:N21" si="10">M20*1.2</f>
        <v>6867.0226759680008</v>
      </c>
      <c r="N21" s="35">
        <f t="shared" si="10"/>
        <v>381501259.77599996</v>
      </c>
      <c r="O21" s="35">
        <v>10000</v>
      </c>
      <c r="P21" s="35">
        <v>435</v>
      </c>
      <c r="Q21" s="36">
        <v>0.9</v>
      </c>
      <c r="R21" s="35">
        <f t="shared" si="0"/>
        <v>38150.125977600001</v>
      </c>
      <c r="S21" s="35">
        <f t="shared" si="1"/>
        <v>100</v>
      </c>
      <c r="T21" s="37">
        <v>200</v>
      </c>
      <c r="U21" s="7">
        <v>200</v>
      </c>
      <c r="V21" s="42">
        <v>10</v>
      </c>
      <c r="W21" s="42">
        <v>2000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4"/>
        <v>237704631.09119996</v>
      </c>
      <c r="M22" s="35">
        <f t="shared" ref="M22:N22" si="11">M21*1.2</f>
        <v>8240.427211161601</v>
      </c>
      <c r="N22" s="35">
        <f t="shared" si="11"/>
        <v>457801511.73119992</v>
      </c>
      <c r="O22" s="35">
        <v>10000</v>
      </c>
      <c r="P22" s="35">
        <v>440</v>
      </c>
      <c r="Q22" s="36">
        <v>0.9</v>
      </c>
      <c r="R22" s="35">
        <f t="shared" si="0"/>
        <v>45780.151173119993</v>
      </c>
      <c r="S22" s="35">
        <f t="shared" si="1"/>
        <v>100</v>
      </c>
      <c r="T22" s="37">
        <v>200</v>
      </c>
      <c r="U22" s="7">
        <v>200</v>
      </c>
      <c r="V22" s="42">
        <v>10</v>
      </c>
      <c r="W22" s="42">
        <v>2000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4"/>
        <v>285245557.30943996</v>
      </c>
      <c r="M23" s="35">
        <f t="shared" ref="M23:N23" si="12">M22*1.2</f>
        <v>9888.5126533939201</v>
      </c>
      <c r="N23" s="35">
        <f t="shared" si="12"/>
        <v>549361814.0774399</v>
      </c>
      <c r="O23" s="35">
        <v>10000</v>
      </c>
      <c r="P23" s="35">
        <v>445</v>
      </c>
      <c r="Q23" s="36">
        <v>0.9</v>
      </c>
      <c r="R23" s="35">
        <f t="shared" si="0"/>
        <v>54936.181407743992</v>
      </c>
      <c r="S23" s="35">
        <f t="shared" si="1"/>
        <v>100</v>
      </c>
      <c r="T23" s="37">
        <v>200</v>
      </c>
      <c r="U23" s="7">
        <v>200</v>
      </c>
      <c r="V23" s="42">
        <v>10</v>
      </c>
      <c r="W23" s="42">
        <v>2000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si="4"/>
        <v>342294668.77132791</v>
      </c>
      <c r="M24" s="35">
        <f t="shared" ref="M24:N24" si="13">M23*1.2</f>
        <v>11866.215184072704</v>
      </c>
      <c r="N24" s="35">
        <f t="shared" si="13"/>
        <v>659234176.89292789</v>
      </c>
      <c r="O24" s="35">
        <v>10000</v>
      </c>
      <c r="P24" s="35">
        <v>450</v>
      </c>
      <c r="Q24" s="36">
        <v>0.75</v>
      </c>
      <c r="R24" s="35">
        <f t="shared" si="0"/>
        <v>65923.417689292794</v>
      </c>
      <c r="S24" s="35">
        <f t="shared" si="1"/>
        <v>100</v>
      </c>
      <c r="T24" s="37">
        <v>200</v>
      </c>
      <c r="U24" s="7">
        <v>300</v>
      </c>
      <c r="V24" s="42">
        <v>10</v>
      </c>
      <c r="W24" s="42">
        <v>4000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4"/>
        <v>410753602.52559346</v>
      </c>
      <c r="M25" s="35">
        <f t="shared" ref="M25:N25" si="14">M24*1.2</f>
        <v>14239.458220887243</v>
      </c>
      <c r="N25" s="35">
        <f t="shared" si="14"/>
        <v>791081012.27151346</v>
      </c>
      <c r="O25" s="35">
        <v>10000</v>
      </c>
      <c r="P25" s="35">
        <v>455</v>
      </c>
      <c r="Q25" s="36">
        <v>0.75</v>
      </c>
      <c r="R25" s="35">
        <f t="shared" si="0"/>
        <v>79108.101227151346</v>
      </c>
      <c r="S25" s="35">
        <f t="shared" si="1"/>
        <v>100</v>
      </c>
      <c r="T25" s="37">
        <v>200</v>
      </c>
      <c r="U25" s="7">
        <v>300</v>
      </c>
      <c r="V25" s="42">
        <v>10</v>
      </c>
      <c r="W25" s="42">
        <v>4000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4"/>
        <v>492904323.03071213</v>
      </c>
      <c r="M26" s="35">
        <f t="shared" ref="M26:N26" si="15">M25*1.2</f>
        <v>17087.349865064691</v>
      </c>
      <c r="N26" s="35">
        <f t="shared" si="15"/>
        <v>949297214.72581613</v>
      </c>
      <c r="O26" s="35">
        <v>10000</v>
      </c>
      <c r="P26" s="35">
        <v>460</v>
      </c>
      <c r="Q26" s="36">
        <v>0.75</v>
      </c>
      <c r="R26" s="35">
        <f t="shared" si="0"/>
        <v>94929.721472581616</v>
      </c>
      <c r="S26" s="35">
        <f t="shared" si="1"/>
        <v>100</v>
      </c>
      <c r="T26" s="37">
        <v>200</v>
      </c>
      <c r="U26" s="7">
        <v>300</v>
      </c>
      <c r="V26" s="42">
        <v>10</v>
      </c>
      <c r="W26" s="42">
        <v>4000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4"/>
        <v>591485187.63685453</v>
      </c>
      <c r="M27" s="35">
        <f t="shared" ref="M27:N27" si="16">M26*1.2</f>
        <v>20504.819838077627</v>
      </c>
      <c r="N27" s="35">
        <f t="shared" si="16"/>
        <v>1139156657.6709793</v>
      </c>
      <c r="O27" s="35">
        <v>10000</v>
      </c>
      <c r="P27" s="35">
        <v>465</v>
      </c>
      <c r="Q27" s="36">
        <v>0.75</v>
      </c>
      <c r="R27" s="35">
        <f t="shared" si="0"/>
        <v>113915.66576709793</v>
      </c>
      <c r="S27" s="35">
        <f t="shared" si="1"/>
        <v>100</v>
      </c>
      <c r="T27" s="37">
        <v>200</v>
      </c>
      <c r="U27" s="7">
        <v>300</v>
      </c>
      <c r="V27" s="42">
        <v>10</v>
      </c>
      <c r="W27" s="42">
        <v>4000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4"/>
        <v>709782225.16422546</v>
      </c>
      <c r="M28" s="35">
        <f t="shared" ref="M28:N28" si="17">M27*1.2</f>
        <v>24605.78380569315</v>
      </c>
      <c r="N28" s="35">
        <f t="shared" si="17"/>
        <v>1366987989.2051752</v>
      </c>
      <c r="O28" s="35">
        <v>10000</v>
      </c>
      <c r="P28" s="35">
        <v>470</v>
      </c>
      <c r="Q28" s="36">
        <v>0.75</v>
      </c>
      <c r="R28" s="35">
        <f t="shared" si="0"/>
        <v>136698.79892051753</v>
      </c>
      <c r="S28" s="35">
        <f t="shared" si="1"/>
        <v>100</v>
      </c>
      <c r="T28" s="37">
        <v>200</v>
      </c>
      <c r="U28" s="7">
        <v>300</v>
      </c>
      <c r="V28" s="42">
        <v>10</v>
      </c>
      <c r="W28" s="42">
        <v>4000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18">M8*5</f>
        <v>720</v>
      </c>
      <c r="N29" s="7">
        <f t="shared" si="18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10</v>
      </c>
      <c r="W29" s="42">
        <v>3000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182250000</v>
      </c>
      <c r="M30" s="7">
        <f t="shared" ref="M30:N30" si="19">M13*5</f>
        <v>6318.0000000000009</v>
      </c>
      <c r="N30" s="7">
        <f t="shared" si="19"/>
        <v>351000000</v>
      </c>
      <c r="O30" s="35">
        <v>10000</v>
      </c>
      <c r="P30" s="35">
        <v>395</v>
      </c>
      <c r="Q30" s="36">
        <v>0.9</v>
      </c>
      <c r="R30" s="35">
        <f t="shared" si="0"/>
        <v>35100</v>
      </c>
      <c r="S30" s="35">
        <f t="shared" si="1"/>
        <v>100</v>
      </c>
      <c r="T30" s="7">
        <v>200</v>
      </c>
      <c r="U30" s="7">
        <f>U13*5</f>
        <v>500</v>
      </c>
      <c r="V30" s="42">
        <v>10</v>
      </c>
      <c r="W30" s="42">
        <v>7680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573168960</v>
      </c>
      <c r="M31" s="7">
        <f t="shared" ref="M31:N31" si="20">M18*5</f>
        <v>19869.857280000004</v>
      </c>
      <c r="N31" s="7">
        <f t="shared" si="20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10</v>
      </c>
      <c r="W31" s="42">
        <v>15000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1426227786.5471997</v>
      </c>
      <c r="M32" s="7">
        <f t="shared" ref="M32:N32" si="21">M23*5</f>
        <v>49442.563266969599</v>
      </c>
      <c r="N32" s="7">
        <f t="shared" si="21"/>
        <v>2746809070.3871994</v>
      </c>
      <c r="O32" s="35">
        <v>10000</v>
      </c>
      <c r="P32" s="35">
        <v>435</v>
      </c>
      <c r="Q32" s="36">
        <v>0.7</v>
      </c>
      <c r="R32" s="35">
        <f t="shared" si="0"/>
        <v>274680.90703871998</v>
      </c>
      <c r="S32" s="35">
        <f t="shared" si="1"/>
        <v>100</v>
      </c>
      <c r="T32" s="7">
        <v>200</v>
      </c>
      <c r="U32" s="7">
        <f>U23*5</f>
        <v>1000</v>
      </c>
      <c r="V32" s="42">
        <v>10</v>
      </c>
      <c r="W32" s="42">
        <v>20000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2139341679.8207996</v>
      </c>
      <c r="M33" s="7">
        <f t="shared" ref="M33:N33" si="22">M32*1.5</f>
        <v>74163.844900454395</v>
      </c>
      <c r="N33" s="7">
        <f t="shared" si="22"/>
        <v>4120213605.5807991</v>
      </c>
      <c r="O33" s="35">
        <v>10000</v>
      </c>
      <c r="P33" s="7">
        <v>470</v>
      </c>
      <c r="Q33" s="36">
        <v>0.5</v>
      </c>
      <c r="R33" s="35">
        <f t="shared" si="0"/>
        <v>412021.3605580799</v>
      </c>
      <c r="S33" s="35">
        <f t="shared" si="1"/>
        <v>100</v>
      </c>
      <c r="T33" s="7">
        <v>200</v>
      </c>
      <c r="U33" s="7">
        <f>U28*5</f>
        <v>1500</v>
      </c>
      <c r="V33" s="42">
        <v>10</v>
      </c>
      <c r="W33" s="42">
        <v>40000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1283605007.8924797</v>
      </c>
      <c r="M34" s="39">
        <f t="shared" ref="M34:N34" si="23">M33*0.6</f>
        <v>44498.306940272632</v>
      </c>
      <c r="N34" s="39">
        <f t="shared" si="23"/>
        <v>2472128163.3484793</v>
      </c>
      <c r="O34" s="35">
        <v>10000</v>
      </c>
      <c r="P34" s="39">
        <v>350</v>
      </c>
      <c r="Q34" s="40">
        <v>0.6</v>
      </c>
      <c r="R34" s="39">
        <f t="shared" si="0"/>
        <v>247212.81633484794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4">O4</f>
        <v>100</v>
      </c>
      <c r="P35" s="39">
        <f t="shared" si="24"/>
        <v>350</v>
      </c>
      <c r="Q35" s="40">
        <f t="shared" si="24"/>
        <v>1</v>
      </c>
      <c r="R35" s="39">
        <f t="shared" si="24"/>
        <v>10</v>
      </c>
      <c r="S35" s="39">
        <f t="shared" si="24"/>
        <v>1</v>
      </c>
      <c r="T35" s="39">
        <f t="shared" si="24"/>
        <v>200</v>
      </c>
      <c r="U35" s="39">
        <f t="shared" si="24"/>
        <v>10</v>
      </c>
      <c r="V35" s="42">
        <v>5</v>
      </c>
      <c r="W35" s="42">
        <v>50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5">O6</f>
        <v>100</v>
      </c>
      <c r="P36" s="39">
        <f t="shared" si="25"/>
        <v>360</v>
      </c>
      <c r="Q36" s="40">
        <f t="shared" si="25"/>
        <v>1</v>
      </c>
      <c r="R36" s="39">
        <f t="shared" si="25"/>
        <v>200</v>
      </c>
      <c r="S36" s="39">
        <f t="shared" si="25"/>
        <v>1</v>
      </c>
      <c r="T36" s="39">
        <f t="shared" si="25"/>
        <v>200</v>
      </c>
      <c r="U36" s="39">
        <f t="shared" si="25"/>
        <v>30</v>
      </c>
      <c r="V36" s="42">
        <v>5</v>
      </c>
      <c r="W36" s="42">
        <v>50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26">O8</f>
        <v>1000</v>
      </c>
      <c r="P37" s="39">
        <f t="shared" si="26"/>
        <v>370</v>
      </c>
      <c r="Q37" s="40">
        <f t="shared" si="26"/>
        <v>1</v>
      </c>
      <c r="R37" s="39">
        <f t="shared" si="26"/>
        <v>800</v>
      </c>
      <c r="S37" s="39">
        <f t="shared" si="26"/>
        <v>10</v>
      </c>
      <c r="T37" s="39">
        <f t="shared" si="26"/>
        <v>200</v>
      </c>
      <c r="U37" s="39">
        <f t="shared" si="26"/>
        <v>50</v>
      </c>
      <c r="V37" s="42">
        <v>5</v>
      </c>
      <c r="W37" s="42">
        <v>50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7">O10</f>
        <v>10000</v>
      </c>
      <c r="P38" s="39">
        <f t="shared" si="27"/>
        <v>380</v>
      </c>
      <c r="Q38" s="40">
        <f t="shared" si="27"/>
        <v>1</v>
      </c>
      <c r="R38" s="39">
        <f t="shared" si="27"/>
        <v>2400</v>
      </c>
      <c r="S38" s="39">
        <f t="shared" si="27"/>
        <v>100</v>
      </c>
      <c r="T38" s="39">
        <f t="shared" si="27"/>
        <v>200</v>
      </c>
      <c r="U38" s="39">
        <f t="shared" si="27"/>
        <v>70</v>
      </c>
      <c r="V38" s="42">
        <v>5</v>
      </c>
      <c r="W38" s="42">
        <v>50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>N38*2</f>
        <v>8000000</v>
      </c>
      <c r="O39" s="39">
        <f t="shared" ref="O39:U39" si="28">O12</f>
        <v>10000</v>
      </c>
      <c r="P39" s="39">
        <f t="shared" si="28"/>
        <v>390</v>
      </c>
      <c r="Q39" s="40">
        <f t="shared" si="28"/>
        <v>1</v>
      </c>
      <c r="R39" s="39">
        <f t="shared" si="28"/>
        <v>5400</v>
      </c>
      <c r="S39" s="39">
        <f t="shared" si="28"/>
        <v>100</v>
      </c>
      <c r="T39" s="39">
        <f t="shared" si="28"/>
        <v>200</v>
      </c>
      <c r="U39" s="39">
        <f t="shared" si="28"/>
        <v>90</v>
      </c>
      <c r="V39" s="39">
        <v>10</v>
      </c>
      <c r="W39" s="39">
        <v>500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 t="shared" ref="L40:N42" si="29">L43*2</f>
        <v>16000000</v>
      </c>
      <c r="M40" s="39">
        <f t="shared" si="29"/>
        <v>360</v>
      </c>
      <c r="N40" s="39">
        <f t="shared" si="29"/>
        <v>32000000</v>
      </c>
      <c r="O40" s="39">
        <f t="shared" ref="O40:U40" si="30">O14</f>
        <v>10000</v>
      </c>
      <c r="P40" s="39">
        <f t="shared" si="30"/>
        <v>400</v>
      </c>
      <c r="Q40" s="40">
        <f t="shared" si="30"/>
        <v>0.9</v>
      </c>
      <c r="R40" s="39">
        <f t="shared" si="30"/>
        <v>9828</v>
      </c>
      <c r="S40" s="39">
        <f t="shared" si="30"/>
        <v>100</v>
      </c>
      <c r="T40" s="39">
        <f t="shared" si="30"/>
        <v>200</v>
      </c>
      <c r="U40" s="39">
        <f t="shared" si="30"/>
        <v>150</v>
      </c>
      <c r="V40" s="39">
        <v>10</v>
      </c>
      <c r="W40" s="39">
        <v>1024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 t="shared" si="29"/>
        <v>64000000</v>
      </c>
      <c r="M41" s="39">
        <f t="shared" si="29"/>
        <v>1440</v>
      </c>
      <c r="N41" s="39">
        <f t="shared" si="29"/>
        <v>128000000</v>
      </c>
      <c r="O41" s="39">
        <f t="shared" ref="O41:U41" si="31">O16</f>
        <v>10000</v>
      </c>
      <c r="P41" s="39">
        <f t="shared" si="31"/>
        <v>410</v>
      </c>
      <c r="Q41" s="40">
        <f t="shared" si="31"/>
        <v>0.9</v>
      </c>
      <c r="R41" s="39">
        <f t="shared" si="31"/>
        <v>15331.68</v>
      </c>
      <c r="S41" s="39">
        <f t="shared" si="31"/>
        <v>100</v>
      </c>
      <c r="T41" s="39">
        <f t="shared" si="31"/>
        <v>200</v>
      </c>
      <c r="U41" s="39">
        <f t="shared" si="31"/>
        <v>150</v>
      </c>
      <c r="V41" s="39">
        <v>10</v>
      </c>
      <c r="W41" s="39">
        <v>1536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 t="shared" si="29"/>
        <v>256000000</v>
      </c>
      <c r="M42" s="39">
        <f t="shared" si="29"/>
        <v>5760</v>
      </c>
      <c r="N42" s="39">
        <f t="shared" si="29"/>
        <v>512000000</v>
      </c>
      <c r="O42" s="39">
        <f t="shared" ref="O42:U42" si="32">O18</f>
        <v>10000</v>
      </c>
      <c r="P42" s="39">
        <f t="shared" si="32"/>
        <v>420</v>
      </c>
      <c r="Q42" s="40">
        <f t="shared" si="32"/>
        <v>0.9</v>
      </c>
      <c r="R42" s="39">
        <f t="shared" si="32"/>
        <v>22077.619200000001</v>
      </c>
      <c r="S42" s="39">
        <f t="shared" si="32"/>
        <v>100</v>
      </c>
      <c r="T42" s="39">
        <f t="shared" si="32"/>
        <v>200</v>
      </c>
      <c r="U42" s="39">
        <f t="shared" si="32"/>
        <v>150</v>
      </c>
      <c r="V42" s="39">
        <v>10</v>
      </c>
      <c r="W42" s="39">
        <v>2560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f t="shared" ref="M43:N43" si="33">M39*2</f>
        <v>180</v>
      </c>
      <c r="N43" s="39">
        <f t="shared" si="33"/>
        <v>16000000</v>
      </c>
      <c r="O43" s="39">
        <f t="shared" ref="O43:T43" si="34">O8</f>
        <v>1000</v>
      </c>
      <c r="P43" s="39">
        <f t="shared" si="34"/>
        <v>370</v>
      </c>
      <c r="Q43" s="40">
        <f t="shared" si="34"/>
        <v>1</v>
      </c>
      <c r="R43" s="39">
        <f t="shared" si="34"/>
        <v>800</v>
      </c>
      <c r="S43" s="39">
        <f t="shared" si="34"/>
        <v>10</v>
      </c>
      <c r="T43" s="39">
        <f t="shared" si="34"/>
        <v>200</v>
      </c>
      <c r="U43" s="39">
        <v>100</v>
      </c>
      <c r="V43" s="39">
        <v>10</v>
      </c>
      <c r="W43" s="39">
        <v>768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L40*2</f>
        <v>32000000</v>
      </c>
      <c r="M44" s="39">
        <f t="shared" ref="M44:N44" si="35">M40*2</f>
        <v>720</v>
      </c>
      <c r="N44" s="39">
        <f t="shared" si="35"/>
        <v>64000000</v>
      </c>
      <c r="O44" s="39">
        <f t="shared" ref="O44:U44" si="36">O14</f>
        <v>10000</v>
      </c>
      <c r="P44" s="39">
        <f t="shared" si="36"/>
        <v>400</v>
      </c>
      <c r="Q44" s="40">
        <f t="shared" si="36"/>
        <v>0.9</v>
      </c>
      <c r="R44" s="39">
        <f t="shared" si="36"/>
        <v>9828</v>
      </c>
      <c r="S44" s="39">
        <f t="shared" si="36"/>
        <v>100</v>
      </c>
      <c r="T44" s="39">
        <f t="shared" si="36"/>
        <v>200</v>
      </c>
      <c r="U44" s="39">
        <f t="shared" si="36"/>
        <v>150</v>
      </c>
      <c r="V44" s="39">
        <v>10</v>
      </c>
      <c r="W44" s="39">
        <v>1280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L41*2</f>
        <v>128000000</v>
      </c>
      <c r="M45" s="39">
        <f t="shared" ref="M45:N45" si="37">M41*2</f>
        <v>2880</v>
      </c>
      <c r="N45" s="39">
        <f t="shared" si="37"/>
        <v>256000000</v>
      </c>
      <c r="O45" s="39">
        <f t="shared" ref="O45:U45" si="38">O23</f>
        <v>10000</v>
      </c>
      <c r="P45" s="39">
        <f t="shared" si="38"/>
        <v>445</v>
      </c>
      <c r="Q45" s="40">
        <f t="shared" si="38"/>
        <v>0.9</v>
      </c>
      <c r="R45" s="39">
        <f t="shared" si="38"/>
        <v>54936.181407743992</v>
      </c>
      <c r="S45" s="39">
        <f t="shared" si="38"/>
        <v>100</v>
      </c>
      <c r="T45" s="39">
        <f t="shared" si="38"/>
        <v>200</v>
      </c>
      <c r="U45" s="39">
        <f t="shared" si="38"/>
        <v>200</v>
      </c>
      <c r="V45" s="39">
        <v>10</v>
      </c>
      <c r="W45" s="39">
        <v>2000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39">O4*3</f>
        <v>300</v>
      </c>
      <c r="P46" s="35">
        <f t="shared" ref="P46:P70" si="40">P4</f>
        <v>350</v>
      </c>
      <c r="Q46" s="36">
        <v>0.75</v>
      </c>
      <c r="R46" s="35">
        <f t="shared" ref="R46:U70" si="41">R4</f>
        <v>10</v>
      </c>
      <c r="S46" s="35">
        <f t="shared" si="41"/>
        <v>1</v>
      </c>
      <c r="T46" s="35">
        <f t="shared" si="41"/>
        <v>200</v>
      </c>
      <c r="U46" s="35">
        <f t="shared" si="41"/>
        <v>10</v>
      </c>
      <c r="V46" s="42">
        <v>10</v>
      </c>
      <c r="W46" s="42">
        <v>500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39"/>
        <v>300</v>
      </c>
      <c r="P47" s="35">
        <f t="shared" si="40"/>
        <v>355</v>
      </c>
      <c r="Q47" s="36">
        <v>0.75</v>
      </c>
      <c r="R47" s="35">
        <f t="shared" si="41"/>
        <v>100</v>
      </c>
      <c r="S47" s="35">
        <f t="shared" si="41"/>
        <v>1</v>
      </c>
      <c r="T47" s="35">
        <f t="shared" si="41"/>
        <v>200</v>
      </c>
      <c r="U47" s="35">
        <f t="shared" si="41"/>
        <v>20</v>
      </c>
      <c r="V47" s="42">
        <v>10</v>
      </c>
      <c r="W47" s="42">
        <v>500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39"/>
        <v>300</v>
      </c>
      <c r="P48" s="35">
        <f t="shared" si="40"/>
        <v>360</v>
      </c>
      <c r="Q48" s="36">
        <v>0.75</v>
      </c>
      <c r="R48" s="35">
        <f t="shared" si="41"/>
        <v>200</v>
      </c>
      <c r="S48" s="35">
        <f t="shared" si="41"/>
        <v>1</v>
      </c>
      <c r="T48" s="35">
        <f t="shared" si="41"/>
        <v>200</v>
      </c>
      <c r="U48" s="35">
        <f t="shared" si="41"/>
        <v>30</v>
      </c>
      <c r="V48" s="42">
        <v>10</v>
      </c>
      <c r="W48" s="42">
        <v>1000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39"/>
        <v>3000</v>
      </c>
      <c r="P49" s="35">
        <f t="shared" si="40"/>
        <v>365</v>
      </c>
      <c r="Q49" s="36">
        <v>0.75</v>
      </c>
      <c r="R49" s="35">
        <f t="shared" si="41"/>
        <v>400</v>
      </c>
      <c r="S49" s="35">
        <f t="shared" si="41"/>
        <v>10</v>
      </c>
      <c r="T49" s="35">
        <f t="shared" si="41"/>
        <v>200</v>
      </c>
      <c r="U49" s="35">
        <f t="shared" si="41"/>
        <v>40</v>
      </c>
      <c r="V49" s="42">
        <v>10</v>
      </c>
      <c r="W49" s="42">
        <v>1000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202.5</v>
      </c>
      <c r="N50" s="39">
        <v>50000000</v>
      </c>
      <c r="O50" s="39">
        <f t="shared" si="39"/>
        <v>3000</v>
      </c>
      <c r="P50" s="35">
        <f t="shared" si="40"/>
        <v>370</v>
      </c>
      <c r="Q50" s="36">
        <v>0.75</v>
      </c>
      <c r="R50" s="35">
        <f t="shared" si="41"/>
        <v>800</v>
      </c>
      <c r="S50" s="35">
        <f t="shared" si="41"/>
        <v>10</v>
      </c>
      <c r="T50" s="35">
        <f t="shared" si="41"/>
        <v>200</v>
      </c>
      <c r="U50" s="35">
        <f t="shared" si="41"/>
        <v>50</v>
      </c>
      <c r="V50" s="42">
        <v>10</v>
      </c>
      <c r="W50" s="42">
        <v>1500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39"/>
        <v>30000</v>
      </c>
      <c r="P51" s="35">
        <f t="shared" si="40"/>
        <v>375</v>
      </c>
      <c r="Q51" s="36">
        <v>0.75</v>
      </c>
      <c r="R51" s="35">
        <f t="shared" si="41"/>
        <v>1600</v>
      </c>
      <c r="S51" s="35">
        <f t="shared" si="41"/>
        <v>100</v>
      </c>
      <c r="T51" s="35">
        <f t="shared" si="41"/>
        <v>200</v>
      </c>
      <c r="U51" s="35">
        <f t="shared" si="41"/>
        <v>60</v>
      </c>
      <c r="V51" s="42">
        <v>10</v>
      </c>
      <c r="W51" s="42">
        <v>1500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39"/>
        <v>30000</v>
      </c>
      <c r="P52" s="35">
        <f t="shared" si="40"/>
        <v>380</v>
      </c>
      <c r="Q52" s="36">
        <v>0.75</v>
      </c>
      <c r="R52" s="35">
        <f t="shared" si="41"/>
        <v>2400</v>
      </c>
      <c r="S52" s="35">
        <f t="shared" si="41"/>
        <v>100</v>
      </c>
      <c r="T52" s="35">
        <f t="shared" si="41"/>
        <v>200</v>
      </c>
      <c r="U52" s="35">
        <f t="shared" si="41"/>
        <v>70</v>
      </c>
      <c r="V52" s="42">
        <v>10</v>
      </c>
      <c r="W52" s="42">
        <v>2000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39"/>
        <v>30000</v>
      </c>
      <c r="P53" s="35">
        <f t="shared" si="40"/>
        <v>385</v>
      </c>
      <c r="Q53" s="36">
        <v>0.75</v>
      </c>
      <c r="R53" s="35">
        <f t="shared" si="41"/>
        <v>3600</v>
      </c>
      <c r="S53" s="35">
        <f t="shared" si="41"/>
        <v>100</v>
      </c>
      <c r="T53" s="35">
        <f t="shared" si="41"/>
        <v>200</v>
      </c>
      <c r="U53" s="35">
        <f t="shared" si="41"/>
        <v>80</v>
      </c>
      <c r="V53" s="42">
        <v>10</v>
      </c>
      <c r="W53" s="42">
        <v>2000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39"/>
        <v>30000</v>
      </c>
      <c r="P54" s="35">
        <f t="shared" si="40"/>
        <v>390</v>
      </c>
      <c r="Q54" s="36">
        <v>0.75</v>
      </c>
      <c r="R54" s="35">
        <f t="shared" si="41"/>
        <v>5400</v>
      </c>
      <c r="S54" s="35">
        <f t="shared" si="41"/>
        <v>100</v>
      </c>
      <c r="T54" s="35">
        <f t="shared" si="41"/>
        <v>200</v>
      </c>
      <c r="U54" s="35">
        <f t="shared" si="41"/>
        <v>90</v>
      </c>
      <c r="V54" s="42">
        <v>10</v>
      </c>
      <c r="W54" s="42">
        <v>2500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39"/>
        <v>30000</v>
      </c>
      <c r="P55" s="35">
        <f t="shared" si="40"/>
        <v>395</v>
      </c>
      <c r="Q55" s="36">
        <v>0.75</v>
      </c>
      <c r="R55" s="35">
        <f t="shared" si="41"/>
        <v>7020</v>
      </c>
      <c r="S55" s="35">
        <f t="shared" si="41"/>
        <v>100</v>
      </c>
      <c r="T55" s="35">
        <f t="shared" si="41"/>
        <v>200</v>
      </c>
      <c r="U55" s="35">
        <f t="shared" si="41"/>
        <v>100</v>
      </c>
      <c r="V55" s="42">
        <v>10</v>
      </c>
      <c r="W55" s="42">
        <v>2500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39"/>
        <v>30000</v>
      </c>
      <c r="P56" s="35">
        <f t="shared" si="40"/>
        <v>400</v>
      </c>
      <c r="Q56" s="36">
        <v>0.75</v>
      </c>
      <c r="R56" s="35">
        <f t="shared" si="41"/>
        <v>9828</v>
      </c>
      <c r="S56" s="35">
        <f t="shared" si="41"/>
        <v>100</v>
      </c>
      <c r="T56" s="35">
        <f t="shared" si="41"/>
        <v>200</v>
      </c>
      <c r="U56" s="35">
        <f t="shared" si="41"/>
        <v>150</v>
      </c>
      <c r="V56" s="42">
        <v>10</v>
      </c>
      <c r="W56" s="42">
        <v>3000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f t="shared" ref="M57:N57" si="42">M56*1.1</f>
        <v>2218.798828125</v>
      </c>
      <c r="N57" s="39">
        <f t="shared" si="42"/>
        <v>547851562.5</v>
      </c>
      <c r="O57" s="39">
        <f t="shared" si="39"/>
        <v>30000</v>
      </c>
      <c r="P57" s="35">
        <f t="shared" si="40"/>
        <v>405</v>
      </c>
      <c r="Q57" s="36">
        <v>0.75</v>
      </c>
      <c r="R57" s="35">
        <f t="shared" si="41"/>
        <v>12776.400000000001</v>
      </c>
      <c r="S57" s="35">
        <f t="shared" si="41"/>
        <v>100</v>
      </c>
      <c r="T57" s="35">
        <f t="shared" si="41"/>
        <v>200</v>
      </c>
      <c r="U57" s="35">
        <f t="shared" si="41"/>
        <v>150</v>
      </c>
      <c r="V57" s="42">
        <v>10</v>
      </c>
      <c r="W57" s="42">
        <v>3000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39"/>
        <v>30000</v>
      </c>
      <c r="P58" s="35">
        <f t="shared" si="40"/>
        <v>410</v>
      </c>
      <c r="Q58" s="36">
        <v>0.75</v>
      </c>
      <c r="R58" s="35">
        <f t="shared" si="41"/>
        <v>15331.68</v>
      </c>
      <c r="S58" s="35">
        <f t="shared" si="41"/>
        <v>100</v>
      </c>
      <c r="T58" s="35">
        <f t="shared" si="41"/>
        <v>200</v>
      </c>
      <c r="U58" s="35">
        <f t="shared" si="41"/>
        <v>150</v>
      </c>
      <c r="V58" s="42">
        <v>10</v>
      </c>
      <c r="W58" s="42">
        <v>3500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39"/>
        <v>30000</v>
      </c>
      <c r="P59" s="35">
        <f t="shared" si="40"/>
        <v>415</v>
      </c>
      <c r="Q59" s="36">
        <v>0.75</v>
      </c>
      <c r="R59" s="35">
        <f t="shared" si="41"/>
        <v>18398.016</v>
      </c>
      <c r="S59" s="35">
        <f t="shared" si="41"/>
        <v>100</v>
      </c>
      <c r="T59" s="35">
        <f t="shared" si="41"/>
        <v>200</v>
      </c>
      <c r="U59" s="35">
        <f t="shared" si="41"/>
        <v>150</v>
      </c>
      <c r="V59" s="42">
        <v>10</v>
      </c>
      <c r="W59" s="42">
        <v>3500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39"/>
        <v>30000</v>
      </c>
      <c r="P60" s="35">
        <f t="shared" si="40"/>
        <v>420</v>
      </c>
      <c r="Q60" s="36">
        <v>0.75</v>
      </c>
      <c r="R60" s="35">
        <f t="shared" si="41"/>
        <v>22077.619200000001</v>
      </c>
      <c r="S60" s="35">
        <f t="shared" si="41"/>
        <v>100</v>
      </c>
      <c r="T60" s="35">
        <f t="shared" si="41"/>
        <v>200</v>
      </c>
      <c r="U60" s="35">
        <f t="shared" si="41"/>
        <v>150</v>
      </c>
      <c r="V60" s="42">
        <v>10</v>
      </c>
      <c r="W60" s="42">
        <v>4000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39"/>
        <v>30000</v>
      </c>
      <c r="P61" s="35">
        <f t="shared" si="40"/>
        <v>425</v>
      </c>
      <c r="Q61" s="36">
        <v>0.75</v>
      </c>
      <c r="R61" s="35">
        <f t="shared" si="41"/>
        <v>26493.143039999999</v>
      </c>
      <c r="S61" s="35">
        <f t="shared" si="41"/>
        <v>100</v>
      </c>
      <c r="T61" s="35">
        <f t="shared" si="41"/>
        <v>200</v>
      </c>
      <c r="U61" s="35">
        <f t="shared" si="41"/>
        <v>200</v>
      </c>
      <c r="V61" s="42">
        <v>10</v>
      </c>
      <c r="W61" s="42">
        <v>4000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39"/>
        <v>30000</v>
      </c>
      <c r="P62" s="35">
        <f t="shared" si="40"/>
        <v>430</v>
      </c>
      <c r="Q62" s="36">
        <v>0.75</v>
      </c>
      <c r="R62" s="35">
        <f t="shared" si="41"/>
        <v>31791.771647999998</v>
      </c>
      <c r="S62" s="35">
        <f t="shared" si="41"/>
        <v>100</v>
      </c>
      <c r="T62" s="35">
        <f t="shared" si="41"/>
        <v>200</v>
      </c>
      <c r="U62" s="35">
        <f t="shared" si="41"/>
        <v>200</v>
      </c>
      <c r="V62" s="42">
        <v>10</v>
      </c>
      <c r="W62" s="42">
        <v>4500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39"/>
        <v>30000</v>
      </c>
      <c r="P63" s="35">
        <f t="shared" si="40"/>
        <v>435</v>
      </c>
      <c r="Q63" s="36">
        <v>0.75</v>
      </c>
      <c r="R63" s="35">
        <f t="shared" si="41"/>
        <v>38150.125977600001</v>
      </c>
      <c r="S63" s="35">
        <f t="shared" si="41"/>
        <v>100</v>
      </c>
      <c r="T63" s="35">
        <f t="shared" si="41"/>
        <v>200</v>
      </c>
      <c r="U63" s="35">
        <f t="shared" si="41"/>
        <v>200</v>
      </c>
      <c r="V63" s="42">
        <v>10</v>
      </c>
      <c r="W63" s="42">
        <v>4500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L63*1.3</f>
        <v>1121421961.816407</v>
      </c>
      <c r="M64" s="39">
        <f t="shared" ref="M64:N64" si="43">M63*1.3</f>
        <v>9083.517890712892</v>
      </c>
      <c r="N64" s="39">
        <f t="shared" si="43"/>
        <v>2242843923.6328139</v>
      </c>
      <c r="O64" s="39">
        <f t="shared" si="39"/>
        <v>30000</v>
      </c>
      <c r="P64" s="35">
        <f t="shared" si="40"/>
        <v>440</v>
      </c>
      <c r="Q64" s="36">
        <v>0.75</v>
      </c>
      <c r="R64" s="35">
        <f t="shared" si="41"/>
        <v>45780.151173119993</v>
      </c>
      <c r="S64" s="35">
        <f t="shared" si="41"/>
        <v>100</v>
      </c>
      <c r="T64" s="35">
        <f t="shared" si="41"/>
        <v>200</v>
      </c>
      <c r="U64" s="35">
        <f t="shared" si="41"/>
        <v>200</v>
      </c>
      <c r="V64" s="42">
        <v>10</v>
      </c>
      <c r="W64" s="42">
        <v>5000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1233564157.9980478</v>
      </c>
      <c r="M65" s="39">
        <f t="shared" ref="M65:N65" si="44">M64*1.1</f>
        <v>9991.8696797841822</v>
      </c>
      <c r="N65" s="39">
        <f t="shared" si="44"/>
        <v>2467128315.9960957</v>
      </c>
      <c r="O65" s="39">
        <f t="shared" si="39"/>
        <v>30000</v>
      </c>
      <c r="P65" s="35">
        <f t="shared" si="40"/>
        <v>445</v>
      </c>
      <c r="Q65" s="36">
        <v>0.75</v>
      </c>
      <c r="R65" s="35">
        <f t="shared" si="41"/>
        <v>54936.181407743992</v>
      </c>
      <c r="S65" s="35">
        <f t="shared" si="41"/>
        <v>100</v>
      </c>
      <c r="T65" s="35">
        <f t="shared" si="41"/>
        <v>200</v>
      </c>
      <c r="U65" s="35">
        <f t="shared" si="41"/>
        <v>200</v>
      </c>
      <c r="V65" s="42">
        <v>10</v>
      </c>
      <c r="W65" s="42">
        <v>5000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>L24*3</f>
        <v>1026884006.3139837</v>
      </c>
      <c r="M66" s="39">
        <v>29417.697965994637</v>
      </c>
      <c r="N66" s="39">
        <f>N24*3</f>
        <v>1977702530.6787837</v>
      </c>
      <c r="O66" s="39">
        <f t="shared" si="39"/>
        <v>30000</v>
      </c>
      <c r="P66" s="35">
        <f t="shared" si="40"/>
        <v>450</v>
      </c>
      <c r="Q66" s="36">
        <v>0.75</v>
      </c>
      <c r="R66" s="35">
        <f t="shared" si="41"/>
        <v>65923.417689292794</v>
      </c>
      <c r="S66" s="35">
        <f t="shared" si="41"/>
        <v>100</v>
      </c>
      <c r="T66" s="35">
        <f t="shared" si="41"/>
        <v>200</v>
      </c>
      <c r="U66" s="35">
        <f t="shared" si="41"/>
        <v>300</v>
      </c>
      <c r="V66" s="42">
        <v>10</v>
      </c>
      <c r="W66" s="42">
        <v>1000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>L25*3</f>
        <v>1232260807.5767803</v>
      </c>
      <c r="M67" s="39">
        <v>21572.978508396071</v>
      </c>
      <c r="N67" s="39">
        <f>N25*3</f>
        <v>2373243036.8145404</v>
      </c>
      <c r="O67" s="39">
        <f t="shared" si="39"/>
        <v>30000</v>
      </c>
      <c r="P67" s="35">
        <f t="shared" si="40"/>
        <v>455</v>
      </c>
      <c r="Q67" s="36">
        <v>0.75</v>
      </c>
      <c r="R67" s="35">
        <f t="shared" si="41"/>
        <v>79108.101227151346</v>
      </c>
      <c r="S67" s="35">
        <f t="shared" si="41"/>
        <v>100</v>
      </c>
      <c r="T67" s="35">
        <f t="shared" si="41"/>
        <v>200</v>
      </c>
      <c r="U67" s="35">
        <f t="shared" si="41"/>
        <v>300</v>
      </c>
      <c r="V67" s="42">
        <v>10</v>
      </c>
      <c r="W67" s="42">
        <v>1000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>L26*3</f>
        <v>1478712969.0921364</v>
      </c>
      <c r="M68" s="39">
        <v>23730.276359235682</v>
      </c>
      <c r="N68" s="39">
        <f>N26*3</f>
        <v>2847891644.1774483</v>
      </c>
      <c r="O68" s="39">
        <f t="shared" si="39"/>
        <v>30000</v>
      </c>
      <c r="P68" s="35">
        <f t="shared" si="40"/>
        <v>460</v>
      </c>
      <c r="Q68" s="36">
        <v>0.75</v>
      </c>
      <c r="R68" s="35">
        <f t="shared" si="41"/>
        <v>94929.721472581616</v>
      </c>
      <c r="S68" s="35">
        <f t="shared" si="41"/>
        <v>100</v>
      </c>
      <c r="T68" s="35">
        <f t="shared" si="41"/>
        <v>200</v>
      </c>
      <c r="U68" s="35">
        <f t="shared" si="41"/>
        <v>300</v>
      </c>
      <c r="V68" s="42">
        <v>10</v>
      </c>
      <c r="W68" s="42">
        <v>1000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>L27*3</f>
        <v>1774455562.9105635</v>
      </c>
      <c r="M69" s="39">
        <v>26103.303995159251</v>
      </c>
      <c r="N69" s="39">
        <f>N27*3</f>
        <v>3417469973.0129375</v>
      </c>
      <c r="O69" s="39">
        <f t="shared" si="39"/>
        <v>30000</v>
      </c>
      <c r="P69" s="35">
        <f t="shared" si="40"/>
        <v>465</v>
      </c>
      <c r="Q69" s="36">
        <v>0.75</v>
      </c>
      <c r="R69" s="35">
        <f t="shared" si="41"/>
        <v>113915.66576709793</v>
      </c>
      <c r="S69" s="35">
        <f t="shared" si="41"/>
        <v>100</v>
      </c>
      <c r="T69" s="35">
        <f t="shared" si="41"/>
        <v>200</v>
      </c>
      <c r="U69" s="35">
        <f t="shared" si="41"/>
        <v>300</v>
      </c>
      <c r="V69" s="42">
        <v>10</v>
      </c>
      <c r="W69" s="42">
        <v>1000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2129346675.4926763</v>
      </c>
      <c r="M70" s="39">
        <v>28713.634394675177</v>
      </c>
      <c r="N70" s="39">
        <f>N28*3</f>
        <v>4100963967.6155252</v>
      </c>
      <c r="O70" s="39">
        <f t="shared" si="39"/>
        <v>30000</v>
      </c>
      <c r="P70" s="35">
        <f t="shared" si="40"/>
        <v>470</v>
      </c>
      <c r="Q70" s="36">
        <v>0.75</v>
      </c>
      <c r="R70" s="35">
        <f t="shared" si="41"/>
        <v>136698.79892051753</v>
      </c>
      <c r="S70" s="35">
        <f t="shared" si="41"/>
        <v>100</v>
      </c>
      <c r="T70" s="35">
        <f t="shared" si="41"/>
        <v>200</v>
      </c>
      <c r="U70" s="35">
        <f t="shared" si="41"/>
        <v>300</v>
      </c>
      <c r="V70" s="42">
        <v>10</v>
      </c>
      <c r="W70" s="42">
        <v>1000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193.11904907226563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10</v>
      </c>
      <c r="W71" s="42">
        <v>1000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968.203125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10</v>
      </c>
      <c r="W72" s="42">
        <v>2560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4397.6149013671875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7020</v>
      </c>
      <c r="S73" s="39">
        <f>S55</f>
        <v>100</v>
      </c>
      <c r="T73" s="39">
        <f>T55</f>
        <v>200</v>
      </c>
      <c r="U73" s="39">
        <f>U55</f>
        <v>100</v>
      </c>
      <c r="V73" s="42">
        <v>10</v>
      </c>
      <c r="W73" s="42">
        <v>4000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1110207742.1982431</v>
      </c>
      <c r="M74" s="39">
        <v>8300.9378878207044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10</v>
      </c>
      <c r="W74" s="42">
        <v>5000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10</v>
      </c>
      <c r="W75" s="42">
        <v>1536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10</v>
      </c>
      <c r="W76" s="42">
        <v>2816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10</v>
      </c>
      <c r="W77" s="42">
        <v>4000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45780.151173119993</v>
      </c>
      <c r="S78" s="39">
        <f>S64</f>
        <v>100</v>
      </c>
      <c r="T78" s="39">
        <f>T64</f>
        <v>200</v>
      </c>
      <c r="U78" s="39">
        <f>U64</f>
        <v>200</v>
      </c>
      <c r="V78" s="42">
        <v>10</v>
      </c>
      <c r="W78" s="42">
        <v>6144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f t="shared" ref="M79:N79" si="45">M53*1.1</f>
        <v>696.09375</v>
      </c>
      <c r="N79" s="39">
        <f t="shared" si="45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10</v>
      </c>
      <c r="W79" s="42">
        <v>1500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f t="shared" ref="M80:N80" si="46">M55*1.1</f>
        <v>1479.1992187500002</v>
      </c>
      <c r="N80" s="39">
        <f t="shared" si="46"/>
        <v>365234375</v>
      </c>
      <c r="O80" s="39">
        <f t="shared" ref="O80:P88" si="47">O52*1</f>
        <v>30000</v>
      </c>
      <c r="P80" s="39">
        <f t="shared" si="47"/>
        <v>380</v>
      </c>
      <c r="Q80" s="36">
        <v>0.75</v>
      </c>
      <c r="R80" s="39">
        <f t="shared" ref="R80:T88" si="48">R52*1</f>
        <v>2400</v>
      </c>
      <c r="S80" s="39">
        <f t="shared" si="48"/>
        <v>100</v>
      </c>
      <c r="T80" s="39">
        <f t="shared" si="48"/>
        <v>200</v>
      </c>
      <c r="U80" s="39">
        <v>150</v>
      </c>
      <c r="V80" s="42">
        <v>10</v>
      </c>
      <c r="W80" s="42">
        <v>2500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f t="shared" ref="M81:N81" si="49">M57*1.1</f>
        <v>2440.6787109375</v>
      </c>
      <c r="N81" s="39">
        <f t="shared" si="49"/>
        <v>602636718.75</v>
      </c>
      <c r="O81" s="39">
        <f t="shared" si="47"/>
        <v>30000</v>
      </c>
      <c r="P81" s="39">
        <f t="shared" si="47"/>
        <v>385</v>
      </c>
      <c r="Q81" s="36">
        <v>0.75</v>
      </c>
      <c r="R81" s="39">
        <f t="shared" si="48"/>
        <v>3600</v>
      </c>
      <c r="S81" s="39">
        <f t="shared" si="48"/>
        <v>100</v>
      </c>
      <c r="T81" s="39">
        <f t="shared" si="48"/>
        <v>200</v>
      </c>
      <c r="U81" s="39">
        <f t="shared" ref="U81:U88" si="50">U53*1</f>
        <v>80</v>
      </c>
      <c r="V81" s="42">
        <v>10</v>
      </c>
      <c r="W81" s="42">
        <v>3500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f t="shared" ref="M82:N82" si="51">M59*1.1</f>
        <v>3758.6452148437502</v>
      </c>
      <c r="N82" s="39">
        <f t="shared" si="51"/>
        <v>928060546.87500024</v>
      </c>
      <c r="O82" s="39">
        <f t="shared" si="47"/>
        <v>30000</v>
      </c>
      <c r="P82" s="39">
        <f t="shared" si="47"/>
        <v>390</v>
      </c>
      <c r="Q82" s="36">
        <v>0.75</v>
      </c>
      <c r="R82" s="39">
        <f t="shared" si="48"/>
        <v>5400</v>
      </c>
      <c r="S82" s="39">
        <f t="shared" si="48"/>
        <v>100</v>
      </c>
      <c r="T82" s="39">
        <f t="shared" si="48"/>
        <v>200</v>
      </c>
      <c r="U82" s="39">
        <f t="shared" si="50"/>
        <v>90</v>
      </c>
      <c r="V82" s="42">
        <v>10</v>
      </c>
      <c r="W82" s="42">
        <v>4500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f t="shared" ref="M83:N83" si="52">M61*1.1</f>
        <v>5374.8626572265639</v>
      </c>
      <c r="N83" s="39">
        <f t="shared" si="52"/>
        <v>1327126582.0312507</v>
      </c>
      <c r="O83" s="39">
        <f t="shared" si="47"/>
        <v>30000</v>
      </c>
      <c r="P83" s="39">
        <f t="shared" si="47"/>
        <v>395</v>
      </c>
      <c r="Q83" s="36">
        <v>0.75</v>
      </c>
      <c r="R83" s="39">
        <f t="shared" si="48"/>
        <v>7020</v>
      </c>
      <c r="S83" s="39">
        <f t="shared" si="48"/>
        <v>100</v>
      </c>
      <c r="T83" s="39">
        <f t="shared" si="48"/>
        <v>200</v>
      </c>
      <c r="U83" s="39">
        <f t="shared" si="50"/>
        <v>100</v>
      </c>
      <c r="V83" s="42">
        <v>10</v>
      </c>
      <c r="W83" s="42">
        <v>5500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L63*1.1</f>
        <v>948895506.15234435</v>
      </c>
      <c r="M84" s="39">
        <f t="shared" ref="M84:N84" si="53">M63*1.1</f>
        <v>7686.0535998339856</v>
      </c>
      <c r="N84" s="39">
        <f t="shared" si="53"/>
        <v>1897791012.3046887</v>
      </c>
      <c r="O84" s="39">
        <f t="shared" si="47"/>
        <v>30000</v>
      </c>
      <c r="P84" s="39">
        <f t="shared" si="47"/>
        <v>400</v>
      </c>
      <c r="Q84" s="36">
        <v>0.75</v>
      </c>
      <c r="R84" s="39">
        <f t="shared" si="48"/>
        <v>9828</v>
      </c>
      <c r="S84" s="39">
        <f t="shared" si="48"/>
        <v>100</v>
      </c>
      <c r="T84" s="39">
        <f t="shared" si="48"/>
        <v>200</v>
      </c>
      <c r="U84" s="39">
        <f t="shared" si="50"/>
        <v>150</v>
      </c>
      <c r="V84" s="42">
        <v>10</v>
      </c>
      <c r="W84" s="42">
        <v>6500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1295242365.8979502</v>
      </c>
      <c r="M85" s="39">
        <f t="shared" ref="M85:N85" si="54">M65*1.05</f>
        <v>10491.463163773391</v>
      </c>
      <c r="N85" s="39">
        <f t="shared" si="54"/>
        <v>2590484731.7959003</v>
      </c>
      <c r="O85" s="39">
        <f t="shared" si="47"/>
        <v>30000</v>
      </c>
      <c r="P85" s="39">
        <f t="shared" si="47"/>
        <v>405</v>
      </c>
      <c r="Q85" s="36">
        <v>0.75</v>
      </c>
      <c r="R85" s="39">
        <f t="shared" si="48"/>
        <v>12776.400000000001</v>
      </c>
      <c r="S85" s="39">
        <f t="shared" si="48"/>
        <v>100</v>
      </c>
      <c r="T85" s="39">
        <f t="shared" si="48"/>
        <v>200</v>
      </c>
      <c r="U85" s="39">
        <f t="shared" si="50"/>
        <v>150</v>
      </c>
      <c r="V85" s="42">
        <v>10</v>
      </c>
      <c r="W85" s="42">
        <v>7500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1424766602.4877453</v>
      </c>
      <c r="M86" s="39">
        <f t="shared" ref="M86:N88" si="55">M85*1.1</f>
        <v>11540.609480150732</v>
      </c>
      <c r="N86" s="39">
        <f t="shared" si="55"/>
        <v>2849533204.9754906</v>
      </c>
      <c r="O86" s="39">
        <f t="shared" si="47"/>
        <v>30000</v>
      </c>
      <c r="P86" s="39">
        <f t="shared" si="47"/>
        <v>410</v>
      </c>
      <c r="Q86" s="36">
        <v>0.75</v>
      </c>
      <c r="R86" s="39">
        <f t="shared" si="48"/>
        <v>15331.68</v>
      </c>
      <c r="S86" s="39">
        <f t="shared" si="48"/>
        <v>100</v>
      </c>
      <c r="T86" s="39">
        <f t="shared" si="48"/>
        <v>200</v>
      </c>
      <c r="U86" s="39">
        <f t="shared" si="50"/>
        <v>150</v>
      </c>
      <c r="V86" s="42">
        <v>10</v>
      </c>
      <c r="W86" s="42">
        <v>8500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>L86*1.1</f>
        <v>1567243262.7365201</v>
      </c>
      <c r="M87" s="39">
        <f t="shared" si="55"/>
        <v>12694.670428165806</v>
      </c>
      <c r="N87" s="39">
        <f t="shared" si="55"/>
        <v>3134486525.4730401</v>
      </c>
      <c r="O87" s="39">
        <f t="shared" si="47"/>
        <v>30000</v>
      </c>
      <c r="P87" s="39">
        <f t="shared" si="47"/>
        <v>415</v>
      </c>
      <c r="Q87" s="36">
        <v>0.75</v>
      </c>
      <c r="R87" s="39">
        <f t="shared" si="48"/>
        <v>18398.016</v>
      </c>
      <c r="S87" s="39">
        <f t="shared" si="48"/>
        <v>100</v>
      </c>
      <c r="T87" s="39">
        <f t="shared" si="48"/>
        <v>200</v>
      </c>
      <c r="U87" s="39">
        <f t="shared" si="50"/>
        <v>150</v>
      </c>
      <c r="V87" s="42">
        <v>10</v>
      </c>
      <c r="W87" s="42">
        <v>9500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>L87*1.1</f>
        <v>1723967589.0101721</v>
      </c>
      <c r="M88" s="39">
        <f t="shared" si="55"/>
        <v>13964.137470982387</v>
      </c>
      <c r="N88" s="39">
        <f t="shared" si="55"/>
        <v>3447935178.0203443</v>
      </c>
      <c r="O88" s="39">
        <f t="shared" si="47"/>
        <v>30000</v>
      </c>
      <c r="P88" s="39">
        <f t="shared" si="47"/>
        <v>420</v>
      </c>
      <c r="Q88" s="36">
        <v>0.75</v>
      </c>
      <c r="R88" s="39">
        <f t="shared" si="48"/>
        <v>22077.619200000001</v>
      </c>
      <c r="S88" s="39">
        <f t="shared" si="48"/>
        <v>100</v>
      </c>
      <c r="T88" s="39">
        <f t="shared" si="48"/>
        <v>200</v>
      </c>
      <c r="U88" s="39">
        <f t="shared" si="50"/>
        <v>150</v>
      </c>
      <c r="V88" s="42">
        <v>10</v>
      </c>
      <c r="W88" s="42">
        <v>15000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L93/10</f>
        <v>31638427.734375</v>
      </c>
      <c r="M89" s="39">
        <f t="shared" ref="M89:N89" si="56">M93/10</f>
        <v>256.27126464843752</v>
      </c>
      <c r="N89" s="39">
        <f t="shared" si="56"/>
        <v>63276855.46875</v>
      </c>
      <c r="O89" s="39">
        <f t="shared" ref="O89:U89" si="57">O55*1</f>
        <v>30000</v>
      </c>
      <c r="P89" s="39">
        <f t="shared" si="57"/>
        <v>395</v>
      </c>
      <c r="Q89" s="39">
        <f t="shared" si="57"/>
        <v>0.75</v>
      </c>
      <c r="R89" s="39">
        <f t="shared" si="57"/>
        <v>7020</v>
      </c>
      <c r="S89" s="39">
        <f t="shared" si="57"/>
        <v>100</v>
      </c>
      <c r="T89" s="39">
        <f t="shared" si="57"/>
        <v>200</v>
      </c>
      <c r="U89" s="39">
        <f t="shared" si="57"/>
        <v>100</v>
      </c>
      <c r="V89" s="39">
        <v>10</v>
      </c>
      <c r="W89" s="39">
        <v>640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>L94/10</f>
        <v>69674145.556640655</v>
      </c>
      <c r="M90" s="39">
        <f t="shared" ref="M90:N90" si="58">M94/10</f>
        <v>564.36057900878927</v>
      </c>
      <c r="N90" s="39">
        <f t="shared" si="58"/>
        <v>139348291.11328131</v>
      </c>
      <c r="O90" s="39">
        <f t="shared" ref="O90:U90" si="59">O59*1</f>
        <v>30000</v>
      </c>
      <c r="P90" s="39">
        <f t="shared" si="59"/>
        <v>415</v>
      </c>
      <c r="Q90" s="39">
        <f t="shared" si="59"/>
        <v>0.75</v>
      </c>
      <c r="R90" s="39">
        <f t="shared" si="59"/>
        <v>18398.016</v>
      </c>
      <c r="S90" s="39">
        <f t="shared" si="59"/>
        <v>100</v>
      </c>
      <c r="T90" s="39">
        <f t="shared" si="59"/>
        <v>200</v>
      </c>
      <c r="U90" s="39">
        <f t="shared" si="59"/>
        <v>150</v>
      </c>
      <c r="V90" s="39">
        <v>10</v>
      </c>
      <c r="W90" s="39">
        <v>1280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>L95/10</f>
        <v>136000448.41928476</v>
      </c>
      <c r="M91" s="39">
        <f t="shared" ref="M91:N91" si="60">M95/10</f>
        <v>1101.603632196206</v>
      </c>
      <c r="N91" s="39">
        <f t="shared" si="60"/>
        <v>272000896.83856952</v>
      </c>
      <c r="O91" s="39">
        <f t="shared" ref="O91:U91" si="61">O63*1</f>
        <v>30000</v>
      </c>
      <c r="P91" s="39">
        <f t="shared" si="61"/>
        <v>435</v>
      </c>
      <c r="Q91" s="39">
        <f t="shared" si="61"/>
        <v>0.75</v>
      </c>
      <c r="R91" s="39">
        <f t="shared" si="61"/>
        <v>38150.125977600001</v>
      </c>
      <c r="S91" s="39">
        <f t="shared" si="61"/>
        <v>100</v>
      </c>
      <c r="T91" s="39">
        <f t="shared" si="61"/>
        <v>200</v>
      </c>
      <c r="U91" s="39">
        <f t="shared" si="61"/>
        <v>200</v>
      </c>
      <c r="V91" s="39">
        <v>10</v>
      </c>
      <c r="W91" s="39">
        <v>1920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L96/10</f>
        <v>164560542.5873346</v>
      </c>
      <c r="M92" s="39">
        <f t="shared" ref="M92:N92" si="62">M96/10</f>
        <v>1332.9403949574096</v>
      </c>
      <c r="N92" s="39">
        <f t="shared" si="62"/>
        <v>329121085.17466921</v>
      </c>
      <c r="O92" s="39">
        <f t="shared" ref="O92:U92" si="63">O69*1</f>
        <v>30000</v>
      </c>
      <c r="P92" s="39">
        <f t="shared" si="63"/>
        <v>465</v>
      </c>
      <c r="Q92" s="39">
        <f t="shared" si="63"/>
        <v>0.75</v>
      </c>
      <c r="R92" s="39">
        <f t="shared" si="63"/>
        <v>113915.66576709793</v>
      </c>
      <c r="S92" s="39">
        <f t="shared" si="63"/>
        <v>100</v>
      </c>
      <c r="T92" s="39">
        <f t="shared" si="63"/>
        <v>200</v>
      </c>
      <c r="U92" s="39">
        <f t="shared" si="63"/>
        <v>300</v>
      </c>
      <c r="V92" s="39">
        <v>10</v>
      </c>
      <c r="W92" s="39">
        <v>2560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f t="shared" ref="M93:N93" si="64">M81*1.05</f>
        <v>2562.712646484375</v>
      </c>
      <c r="N93" s="39">
        <f t="shared" si="64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10</v>
      </c>
      <c r="W93" s="39">
        <v>3200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f t="shared" ref="M94:N94" si="65">M83*1.05</f>
        <v>5643.6057900878923</v>
      </c>
      <c r="N94" s="39">
        <f t="shared" si="65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26493.143039999999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10</v>
      </c>
      <c r="W94" s="39">
        <v>3840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1360004484.1928477</v>
      </c>
      <c r="M95" s="39">
        <f t="shared" ref="M95:N95" si="66">M85*1.05</f>
        <v>11016.036321962061</v>
      </c>
      <c r="N95" s="39">
        <f t="shared" si="66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54936.181407743992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10</v>
      </c>
      <c r="W95" s="39">
        <v>5000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1645605425.8733461</v>
      </c>
      <c r="M96" s="39">
        <f t="shared" ref="M96:N96" si="67">M87*1.05</f>
        <v>13329.403949574096</v>
      </c>
      <c r="N96" s="39">
        <f t="shared" si="67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113915.66576709793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10</v>
      </c>
      <c r="W96" s="39">
        <v>7680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 t="shared" ref="O97:U97" si="68">O4</f>
        <v>100</v>
      </c>
      <c r="P97" s="39">
        <f t="shared" si="68"/>
        <v>350</v>
      </c>
      <c r="Q97" s="39">
        <f t="shared" si="68"/>
        <v>1</v>
      </c>
      <c r="R97" s="39">
        <f t="shared" si="68"/>
        <v>10</v>
      </c>
      <c r="S97" s="39">
        <f t="shared" si="68"/>
        <v>1</v>
      </c>
      <c r="T97" s="39">
        <f t="shared" si="68"/>
        <v>200</v>
      </c>
      <c r="U97" s="39">
        <f t="shared" si="68"/>
        <v>10</v>
      </c>
      <c r="V97" s="39">
        <v>10</v>
      </c>
      <c r="W97" s="39">
        <v>50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69">O4</f>
        <v>100</v>
      </c>
      <c r="P98" s="39">
        <f t="shared" si="69"/>
        <v>350</v>
      </c>
      <c r="Q98" s="39">
        <f t="shared" si="69"/>
        <v>1</v>
      </c>
      <c r="R98" s="39">
        <f t="shared" si="69"/>
        <v>10</v>
      </c>
      <c r="S98" s="39">
        <f t="shared" si="69"/>
        <v>1</v>
      </c>
      <c r="T98" s="39">
        <v>400</v>
      </c>
      <c r="U98" s="39">
        <f>U4</f>
        <v>10</v>
      </c>
      <c r="V98" s="39">
        <v>10</v>
      </c>
      <c r="W98" s="39">
        <v>500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69"/>
        <v>100</v>
      </c>
      <c r="P99" s="39">
        <f t="shared" si="69"/>
        <v>355</v>
      </c>
      <c r="Q99" s="39">
        <f t="shared" si="69"/>
        <v>1</v>
      </c>
      <c r="R99" s="39">
        <f t="shared" si="69"/>
        <v>100</v>
      </c>
      <c r="S99" s="39">
        <f t="shared" si="69"/>
        <v>1</v>
      </c>
      <c r="T99" s="39">
        <v>400</v>
      </c>
      <c r="U99" s="39">
        <f>U5</f>
        <v>20</v>
      </c>
      <c r="V99" s="39">
        <v>10</v>
      </c>
      <c r="W99" s="39">
        <v>640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6">
        <v>0</v>
      </c>
      <c r="L100">
        <f>L62*1.25</f>
        <v>980263952.63671923</v>
      </c>
      <c r="M100">
        <f t="shared" ref="M100:N100" si="70">M62*1.25</f>
        <v>7940.1380163574231</v>
      </c>
      <c r="N100">
        <f t="shared" si="70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10</v>
      </c>
      <c r="W100" s="42">
        <v>4000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6">
        <v>0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4000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6">
        <v>0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4000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6">
        <v>0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4000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6">
        <v>0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4000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6">
        <v>0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4000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4000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4000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6">
        <v>0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4000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6">
        <v>0</v>
      </c>
      <c r="L109">
        <f>L88*1.05</f>
        <v>1810165968.4606807</v>
      </c>
      <c r="M109">
        <f t="shared" ref="M109:N109" si="71">M88*1.05</f>
        <v>14662.344344531506</v>
      </c>
      <c r="N109">
        <f t="shared" si="71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6400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50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L74*1.3</f>
        <v>1443270064.8577161</v>
      </c>
      <c r="M111">
        <f>M74*1.3</f>
        <v>10791.219254166916</v>
      </c>
      <c r="N111">
        <f>N74*1.3</f>
        <v>2886540129.7154322</v>
      </c>
      <c r="O111" s="53">
        <f t="shared" ref="O111:X111" si="72">O74</f>
        <v>30000</v>
      </c>
      <c r="P111" s="53">
        <f t="shared" si="72"/>
        <v>420</v>
      </c>
      <c r="Q111" s="53">
        <f t="shared" si="72"/>
        <v>0.75</v>
      </c>
      <c r="R111" s="53">
        <f t="shared" si="72"/>
        <v>22077.619200000001</v>
      </c>
      <c r="S111" s="53">
        <f t="shared" si="72"/>
        <v>100</v>
      </c>
      <c r="T111" s="53">
        <f t="shared" si="72"/>
        <v>200</v>
      </c>
      <c r="U111" s="53">
        <f t="shared" si="72"/>
        <v>150</v>
      </c>
      <c r="V111" s="53">
        <f t="shared" si="72"/>
        <v>10</v>
      </c>
      <c r="W111" s="53">
        <f t="shared" si="72"/>
        <v>5000</v>
      </c>
      <c r="X111" s="53">
        <f t="shared" si="72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L111*1.02</f>
        <v>1472135466.1548705</v>
      </c>
      <c r="M112">
        <f t="shared" ref="M112:N112" si="73">M111*1.02</f>
        <v>11007.043639250254</v>
      </c>
      <c r="N112">
        <f t="shared" si="73"/>
        <v>2944270932.309741</v>
      </c>
      <c r="O112" s="53">
        <f t="shared" ref="O112:X114" si="74">O111</f>
        <v>30000</v>
      </c>
      <c r="P112" s="53">
        <f t="shared" si="74"/>
        <v>420</v>
      </c>
      <c r="Q112" s="53">
        <f t="shared" si="74"/>
        <v>0.75</v>
      </c>
      <c r="R112" s="53">
        <f t="shared" si="74"/>
        <v>22077.619200000001</v>
      </c>
      <c r="S112" s="53">
        <f t="shared" si="74"/>
        <v>100</v>
      </c>
      <c r="T112" s="53">
        <f t="shared" si="74"/>
        <v>200</v>
      </c>
      <c r="U112" s="53">
        <f t="shared" si="74"/>
        <v>150</v>
      </c>
      <c r="V112" s="53">
        <f t="shared" si="74"/>
        <v>10</v>
      </c>
      <c r="W112" s="53">
        <f t="shared" si="74"/>
        <v>5000</v>
      </c>
      <c r="X112" s="53">
        <f t="shared" si="74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75">L112*1.02</f>
        <v>1501578175.477968</v>
      </c>
      <c r="M113">
        <f t="shared" ref="M113:M114" si="76">M112*1.02</f>
        <v>11227.184512035259</v>
      </c>
      <c r="N113">
        <f t="shared" ref="N113:N114" si="77">N112*1.02</f>
        <v>3003156350.955936</v>
      </c>
      <c r="O113" s="53">
        <f t="shared" si="74"/>
        <v>30000</v>
      </c>
      <c r="P113" s="53">
        <f t="shared" si="74"/>
        <v>420</v>
      </c>
      <c r="Q113" s="53">
        <f t="shared" si="74"/>
        <v>0.75</v>
      </c>
      <c r="R113" s="53">
        <f t="shared" si="74"/>
        <v>22077.619200000001</v>
      </c>
      <c r="S113" s="53">
        <f t="shared" si="74"/>
        <v>100</v>
      </c>
      <c r="T113" s="53">
        <f t="shared" si="74"/>
        <v>200</v>
      </c>
      <c r="U113" s="53">
        <f t="shared" si="74"/>
        <v>150</v>
      </c>
      <c r="V113" s="53">
        <f t="shared" si="74"/>
        <v>10</v>
      </c>
      <c r="W113" s="53">
        <f t="shared" si="74"/>
        <v>5000</v>
      </c>
      <c r="X113" s="53">
        <f t="shared" si="74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75"/>
        <v>1531609738.9875274</v>
      </c>
      <c r="M114">
        <f t="shared" si="76"/>
        <v>11451.728202275965</v>
      </c>
      <c r="N114">
        <f t="shared" si="77"/>
        <v>3063219477.9750547</v>
      </c>
      <c r="O114" s="53">
        <f t="shared" si="74"/>
        <v>30000</v>
      </c>
      <c r="P114" s="53">
        <f t="shared" si="74"/>
        <v>420</v>
      </c>
      <c r="Q114" s="53">
        <f t="shared" si="74"/>
        <v>0.75</v>
      </c>
      <c r="R114" s="53">
        <f t="shared" si="74"/>
        <v>22077.619200000001</v>
      </c>
      <c r="S114" s="53">
        <f t="shared" si="74"/>
        <v>100</v>
      </c>
      <c r="T114" s="53">
        <f t="shared" si="74"/>
        <v>200</v>
      </c>
      <c r="U114" s="53">
        <f t="shared" si="74"/>
        <v>150</v>
      </c>
      <c r="V114" s="53">
        <f t="shared" si="74"/>
        <v>10</v>
      </c>
      <c r="W114" s="53">
        <f t="shared" si="74"/>
        <v>5000</v>
      </c>
      <c r="X114" s="53">
        <f t="shared" si="74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2019-06-25T08:24:36Z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