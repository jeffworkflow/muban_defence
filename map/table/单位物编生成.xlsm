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F90AC106-4A1A-42B7-A041-E181BDFCF036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45" i="29" l="1"/>
  <c r="N44" i="29"/>
  <c r="N43" i="29"/>
  <c r="N40" i="29" s="1"/>
  <c r="M41" i="29"/>
  <c r="M45" i="29" s="1"/>
  <c r="N39" i="29"/>
  <c r="M44" i="29"/>
  <c r="M43" i="29"/>
  <c r="M40" i="29" s="1"/>
  <c r="M39" i="29"/>
  <c r="M37" i="29"/>
  <c r="N74" i="29" l="1"/>
  <c r="N73" i="29"/>
  <c r="N72" i="29"/>
  <c r="N71" i="29"/>
  <c r="M72" i="29"/>
  <c r="M73" i="29"/>
  <c r="M74" i="29"/>
  <c r="M109" i="29" l="1"/>
  <c r="M96" i="29"/>
  <c r="L85" i="29"/>
  <c r="L79" i="29"/>
  <c r="L88" i="29"/>
  <c r="L76" i="29"/>
  <c r="M76" i="29"/>
  <c r="L77" i="29"/>
  <c r="M77" i="29"/>
  <c r="L78" i="29"/>
  <c r="M78" i="29"/>
  <c r="M111" i="29"/>
  <c r="L71" i="29"/>
  <c r="L72" i="29"/>
  <c r="L73" i="29"/>
  <c r="L74" i="29"/>
  <c r="M64" i="29"/>
  <c r="N64" i="29"/>
  <c r="L64" i="29"/>
  <c r="M62" i="29"/>
  <c r="N62" i="29"/>
  <c r="L62" i="29"/>
  <c r="M60" i="29"/>
  <c r="N60" i="29"/>
  <c r="L60" i="29"/>
  <c r="M58" i="29"/>
  <c r="N58" i="29"/>
  <c r="L58" i="29"/>
  <c r="M56" i="29"/>
  <c r="N56" i="29"/>
  <c r="M51" i="29"/>
  <c r="N51" i="29"/>
  <c r="M49" i="29"/>
  <c r="N49" i="29"/>
  <c r="M47" i="29"/>
  <c r="N47" i="29"/>
  <c r="M25" i="29" l="1"/>
  <c r="N25" i="29"/>
  <c r="L25" i="29"/>
  <c r="M24" i="29"/>
  <c r="N24" i="29"/>
  <c r="L24" i="29"/>
  <c r="M20" i="29"/>
  <c r="N20" i="29"/>
  <c r="L20" i="29"/>
  <c r="M19" i="29"/>
  <c r="N19" i="29"/>
  <c r="L19" i="29"/>
  <c r="L55" i="29"/>
  <c r="L37" i="29" l="1"/>
  <c r="N41" i="29" l="1"/>
  <c r="L13" i="29" l="1"/>
  <c r="M9" i="29"/>
  <c r="M10" i="29" s="1"/>
  <c r="M11" i="29" s="1"/>
  <c r="M12" i="29" s="1"/>
  <c r="M13" i="29" s="1"/>
  <c r="M14" i="29" s="1"/>
  <c r="N9" i="29"/>
  <c r="N10" i="29" s="1"/>
  <c r="N11" i="29" s="1"/>
  <c r="N12" i="29" s="1"/>
  <c r="N13" i="29" s="1"/>
  <c r="L9" i="29"/>
  <c r="N14" i="29" l="1"/>
  <c r="N15" i="29" s="1"/>
  <c r="N30" i="29"/>
  <c r="M15" i="29"/>
  <c r="M16" i="29" l="1"/>
  <c r="M17" i="29" s="1"/>
  <c r="M18" i="29" s="1"/>
  <c r="L43" i="29"/>
  <c r="L40" i="29" s="1"/>
  <c r="L44" i="29" s="1"/>
  <c r="N42" i="29"/>
  <c r="M42" i="29"/>
  <c r="M21" i="29" l="1"/>
  <c r="M22" i="29" s="1"/>
  <c r="M23" i="29" s="1"/>
  <c r="L41" i="29"/>
  <c r="L45" i="29" s="1"/>
  <c r="L89" i="29"/>
  <c r="M79" i="29"/>
  <c r="M80" i="29"/>
  <c r="M57" i="29"/>
  <c r="M59" i="29" s="1"/>
  <c r="L57" i="29"/>
  <c r="L56" i="29"/>
  <c r="L54" i="29"/>
  <c r="L53" i="29"/>
  <c r="N16" i="29"/>
  <c r="N17" i="29" s="1"/>
  <c r="N18" i="29" s="1"/>
  <c r="M29" i="29"/>
  <c r="N29" i="29"/>
  <c r="M30" i="29"/>
  <c r="M61" i="29" l="1"/>
  <c r="M82" i="29"/>
  <c r="M81" i="29"/>
  <c r="M93" i="29" s="1"/>
  <c r="M89" i="29" s="1"/>
  <c r="M32" i="29"/>
  <c r="M33" i="29" s="1"/>
  <c r="M26" i="29"/>
  <c r="M27" i="29" s="1"/>
  <c r="M28" i="29" s="1"/>
  <c r="N21" i="29"/>
  <c r="N22" i="29" s="1"/>
  <c r="N23" i="29" s="1"/>
  <c r="N31" i="29"/>
  <c r="M31" i="29"/>
  <c r="M112" i="29"/>
  <c r="M113" i="29" s="1"/>
  <c r="M114" i="29" s="1"/>
  <c r="M83" i="29" l="1"/>
  <c r="M94" i="29" s="1"/>
  <c r="M90" i="29" s="1"/>
  <c r="N26" i="29"/>
  <c r="N27" i="29" s="1"/>
  <c r="N28" i="29" s="1"/>
  <c r="N32" i="29"/>
  <c r="M34" i="29"/>
  <c r="Q111" i="29"/>
  <c r="Q112" i="29" s="1"/>
  <c r="X111" i="29"/>
  <c r="X112" i="29" s="1"/>
  <c r="M63" i="29" l="1"/>
  <c r="M100" i="29"/>
  <c r="N33" i="29"/>
  <c r="N34" i="29" s="1"/>
  <c r="X99" i="29"/>
  <c r="U99" i="29"/>
  <c r="Q99" i="29"/>
  <c r="P99" i="29"/>
  <c r="O99" i="29"/>
  <c r="M65" i="29" l="1"/>
  <c r="M85" i="29" s="1"/>
  <c r="M84" i="29"/>
  <c r="X97" i="29"/>
  <c r="Q97" i="29"/>
  <c r="O97" i="29"/>
  <c r="X94" i="29"/>
  <c r="Q92" i="29"/>
  <c r="Q91" i="29"/>
  <c r="X90" i="29"/>
  <c r="Q90" i="29"/>
  <c r="X89" i="29"/>
  <c r="Q89" i="29"/>
  <c r="U70" i="29"/>
  <c r="T70" i="29"/>
  <c r="P70" i="29"/>
  <c r="O70" i="29"/>
  <c r="U69" i="29"/>
  <c r="U96" i="29" s="1"/>
  <c r="T69" i="29"/>
  <c r="P69" i="29"/>
  <c r="O69" i="29"/>
  <c r="U68" i="29"/>
  <c r="T68" i="29"/>
  <c r="P68" i="29"/>
  <c r="O68" i="29"/>
  <c r="U67" i="29"/>
  <c r="U97" i="29" s="1"/>
  <c r="T67" i="29"/>
  <c r="T97" i="29" s="1"/>
  <c r="P67" i="29"/>
  <c r="P97" i="29" s="1"/>
  <c r="O67" i="29"/>
  <c r="U66" i="29"/>
  <c r="T66" i="29"/>
  <c r="P66" i="29"/>
  <c r="O66" i="29"/>
  <c r="U65" i="29"/>
  <c r="U95" i="29" s="1"/>
  <c r="U56" i="29" s="1"/>
  <c r="U84" i="29" s="1"/>
  <c r="T65" i="29"/>
  <c r="T95" i="29" s="1"/>
  <c r="P65" i="29"/>
  <c r="P95" i="29" s="1"/>
  <c r="O65" i="29"/>
  <c r="O95" i="29" s="1"/>
  <c r="U63" i="29"/>
  <c r="T63" i="29"/>
  <c r="P63" i="29"/>
  <c r="O63" i="29"/>
  <c r="U61" i="29"/>
  <c r="U94" i="29" s="1"/>
  <c r="T61" i="29"/>
  <c r="T94" i="29" s="1"/>
  <c r="P61" i="29"/>
  <c r="P94" i="29" s="1"/>
  <c r="O61" i="29"/>
  <c r="O94" i="29" s="1"/>
  <c r="U60" i="29"/>
  <c r="U74" i="29" s="1"/>
  <c r="U54" i="29" s="1"/>
  <c r="T57" i="29"/>
  <c r="P57" i="29"/>
  <c r="P85" i="29" s="1"/>
  <c r="O57" i="29"/>
  <c r="T56" i="29"/>
  <c r="T84" i="29" s="1"/>
  <c r="P56" i="29"/>
  <c r="P84" i="29" s="1"/>
  <c r="O56" i="29"/>
  <c r="O84" i="29" s="1"/>
  <c r="T55" i="29"/>
  <c r="O55" i="29"/>
  <c r="U53" i="29"/>
  <c r="T53" i="29"/>
  <c r="T81" i="29" s="1"/>
  <c r="T42" i="29" s="1"/>
  <c r="T37" i="29" s="1"/>
  <c r="P53" i="29"/>
  <c r="P81" i="29" s="1"/>
  <c r="P42" i="29" s="1"/>
  <c r="P37" i="29" s="1"/>
  <c r="O53" i="29"/>
  <c r="O81" i="29" s="1"/>
  <c r="O42" i="29" s="1"/>
  <c r="O37" i="29" s="1"/>
  <c r="U52" i="29"/>
  <c r="T52" i="29"/>
  <c r="T80" i="29" s="1"/>
  <c r="T43" i="29" s="1"/>
  <c r="P52" i="29"/>
  <c r="P80" i="29" s="1"/>
  <c r="O52" i="29"/>
  <c r="O80" i="29" s="1"/>
  <c r="U51" i="29"/>
  <c r="T51" i="29"/>
  <c r="U49" i="29"/>
  <c r="T49" i="29"/>
  <c r="P49" i="29"/>
  <c r="P75" i="29" s="1"/>
  <c r="O49" i="29"/>
  <c r="U47" i="29"/>
  <c r="T47" i="29"/>
  <c r="P47" i="29"/>
  <c r="O47" i="29"/>
  <c r="U46" i="29"/>
  <c r="U45" i="29"/>
  <c r="T45" i="29"/>
  <c r="Q45" i="29"/>
  <c r="P45" i="29"/>
  <c r="O45" i="29"/>
  <c r="Q44" i="29"/>
  <c r="P44" i="29"/>
  <c r="O44" i="29"/>
  <c r="X43" i="29"/>
  <c r="Q43" i="29"/>
  <c r="P43" i="29"/>
  <c r="O43" i="29"/>
  <c r="Q42" i="29"/>
  <c r="U41" i="29"/>
  <c r="Q41" i="29"/>
  <c r="Q40" i="29"/>
  <c r="U39" i="29"/>
  <c r="Q39" i="29"/>
  <c r="Q38" i="29"/>
  <c r="Q37" i="29"/>
  <c r="Q36" i="29"/>
  <c r="Q35" i="29"/>
  <c r="S34" i="29"/>
  <c r="U33" i="29"/>
  <c r="S33" i="29"/>
  <c r="S32" i="29"/>
  <c r="U31" i="29"/>
  <c r="S31" i="29"/>
  <c r="U30" i="29"/>
  <c r="S30" i="29"/>
  <c r="U29" i="29"/>
  <c r="S29" i="29"/>
  <c r="S28" i="29"/>
  <c r="S70" i="29" s="1"/>
  <c r="S27" i="29"/>
  <c r="S26" i="29"/>
  <c r="S25" i="29"/>
  <c r="S67" i="29" s="1"/>
  <c r="S24" i="29"/>
  <c r="S23" i="29"/>
  <c r="S22" i="29"/>
  <c r="S21" i="29"/>
  <c r="S63" i="29" s="1"/>
  <c r="S20" i="29"/>
  <c r="S19" i="29"/>
  <c r="S61" i="29" s="1"/>
  <c r="S18" i="29"/>
  <c r="S17" i="29"/>
  <c r="S16" i="29"/>
  <c r="S15" i="29"/>
  <c r="S57" i="29" s="1"/>
  <c r="S14" i="29"/>
  <c r="S13" i="29"/>
  <c r="S12" i="29"/>
  <c r="S11" i="29"/>
  <c r="S53" i="29" s="1"/>
  <c r="S10" i="29"/>
  <c r="S9" i="29"/>
  <c r="S51" i="29" s="1"/>
  <c r="S8" i="29"/>
  <c r="S7" i="29"/>
  <c r="S49" i="29" s="1"/>
  <c r="S6" i="29"/>
  <c r="S5" i="29"/>
  <c r="S4" i="29"/>
  <c r="N4" i="29"/>
  <c r="M86" i="29" l="1"/>
  <c r="M87" i="29" s="1"/>
  <c r="M95" i="29"/>
  <c r="M91" i="29" s="1"/>
  <c r="S75" i="29"/>
  <c r="S55" i="29"/>
  <c r="S83" i="29" s="1"/>
  <c r="T75" i="29"/>
  <c r="P51" i="29"/>
  <c r="U55" i="29"/>
  <c r="U83" i="29" s="1"/>
  <c r="S45" i="29"/>
  <c r="O75" i="29"/>
  <c r="U81" i="29"/>
  <c r="U42" i="29" s="1"/>
  <c r="U37" i="29" s="1"/>
  <c r="P55" i="29"/>
  <c r="P73" i="29" s="1"/>
  <c r="O73" i="29"/>
  <c r="O51" i="29"/>
  <c r="S68" i="29"/>
  <c r="S69" i="29"/>
  <c r="S96" i="29" s="1"/>
  <c r="O60" i="29"/>
  <c r="O88" i="29" s="1"/>
  <c r="O59" i="29" s="1"/>
  <c r="O87" i="29" s="1"/>
  <c r="O92" i="29"/>
  <c r="T44" i="29"/>
  <c r="P60" i="29"/>
  <c r="P74" i="29" s="1"/>
  <c r="P92" i="29"/>
  <c r="T91" i="29"/>
  <c r="T36" i="29" s="1"/>
  <c r="S66" i="29"/>
  <c r="U111" i="29"/>
  <c r="U91" i="29"/>
  <c r="U36" i="29" s="1"/>
  <c r="U88" i="29"/>
  <c r="U59" i="29" s="1"/>
  <c r="U87" i="29" s="1"/>
  <c r="U92" i="29"/>
  <c r="P96" i="29"/>
  <c r="S52" i="29"/>
  <c r="S80" i="29" s="1"/>
  <c r="T83" i="29"/>
  <c r="T35" i="29" s="1"/>
  <c r="S47" i="29"/>
  <c r="S99" i="29"/>
  <c r="T73" i="29"/>
  <c r="S85" i="29"/>
  <c r="O96" i="29"/>
  <c r="R4" i="29"/>
  <c r="T85" i="29"/>
  <c r="S76" i="29"/>
  <c r="S41" i="29" s="1"/>
  <c r="T96" i="29"/>
  <c r="T92" i="29"/>
  <c r="O90" i="29"/>
  <c r="O38" i="29" s="1"/>
  <c r="S46" i="29"/>
  <c r="S97" i="29"/>
  <c r="S56" i="29" s="1"/>
  <c r="S84" i="29" s="1"/>
  <c r="O76" i="29"/>
  <c r="O83" i="29"/>
  <c r="O85" i="29"/>
  <c r="R8" i="29"/>
  <c r="S65" i="29"/>
  <c r="S95" i="29" s="1"/>
  <c r="P76" i="29"/>
  <c r="P88" i="29"/>
  <c r="P59" i="29" s="1"/>
  <c r="P87" i="29" s="1"/>
  <c r="T76" i="29"/>
  <c r="S43" i="29"/>
  <c r="P90" i="29"/>
  <c r="P38" i="29" s="1"/>
  <c r="M88" i="29" l="1"/>
  <c r="M92" i="29"/>
  <c r="U73" i="29"/>
  <c r="U62" i="29" s="1"/>
  <c r="U40" i="29" s="1"/>
  <c r="P83" i="29"/>
  <c r="P35" i="29" s="1"/>
  <c r="S73" i="29"/>
  <c r="O74" i="29"/>
  <c r="S62" i="29"/>
  <c r="S50" i="29"/>
  <c r="S81" i="29"/>
  <c r="S42" i="29" s="1"/>
  <c r="S37" i="29" s="1"/>
  <c r="O111" i="29"/>
  <c r="O91" i="29" s="1"/>
  <c r="O36" i="29" s="1"/>
  <c r="O54" i="29"/>
  <c r="T46" i="29"/>
  <c r="T41" i="29"/>
  <c r="O35" i="29"/>
  <c r="S35" i="29"/>
  <c r="P111" i="29"/>
  <c r="P112" i="29" s="1"/>
  <c r="P54" i="29"/>
  <c r="P82" i="29" s="1"/>
  <c r="P72" i="29" s="1"/>
  <c r="O62" i="29"/>
  <c r="O40" i="29" s="1"/>
  <c r="O50" i="29"/>
  <c r="O79" i="29" s="1"/>
  <c r="O39" i="29" s="1"/>
  <c r="U50" i="29"/>
  <c r="U44" i="29" s="1"/>
  <c r="O46" i="29"/>
  <c r="O41" i="29"/>
  <c r="P62" i="29"/>
  <c r="P40" i="29" s="1"/>
  <c r="P50" i="29"/>
  <c r="P79" i="29" s="1"/>
  <c r="P39" i="29" s="1"/>
  <c r="S94" i="29"/>
  <c r="U90" i="29"/>
  <c r="U38" i="29" s="1"/>
  <c r="P46" i="29"/>
  <c r="P41" i="29"/>
  <c r="O58" i="29"/>
  <c r="T62" i="29"/>
  <c r="T50" i="29"/>
  <c r="T89" i="29"/>
  <c r="O86" i="29"/>
  <c r="T60" i="29"/>
  <c r="P100" i="29"/>
  <c r="P64" i="29"/>
  <c r="P78" i="29" s="1"/>
  <c r="T64" i="29"/>
  <c r="T78" i="29" s="1"/>
  <c r="S44" i="29"/>
  <c r="U64" i="29"/>
  <c r="U78" i="29" s="1"/>
  <c r="O64" i="29"/>
  <c r="O78" i="29" s="1"/>
  <c r="P91" i="29"/>
  <c r="P36" i="29" s="1"/>
  <c r="S92" i="29"/>
  <c r="O112" i="29" l="1"/>
  <c r="O77" i="29"/>
  <c r="O89" i="29"/>
  <c r="O82" i="29"/>
  <c r="O72" i="29" s="1"/>
  <c r="O100" i="29" s="1"/>
  <c r="T79" i="29"/>
  <c r="T39" i="29" s="1"/>
  <c r="T88" i="29"/>
  <c r="T59" i="29" s="1"/>
  <c r="T74" i="29"/>
  <c r="S64" i="29"/>
  <c r="S78" i="29" s="1"/>
  <c r="S91" i="29"/>
  <c r="S36" i="29" s="1"/>
  <c r="S60" i="29"/>
  <c r="S79" i="29" s="1"/>
  <c r="S39" i="29" s="1"/>
  <c r="T90" i="29" l="1"/>
  <c r="T38" i="29" s="1"/>
  <c r="T87" i="29"/>
  <c r="T111" i="29"/>
  <c r="T112" i="29" s="1"/>
  <c r="T54" i="29"/>
  <c r="S74" i="29"/>
  <c r="S88" i="29"/>
  <c r="S59" i="29" s="1"/>
  <c r="S87" i="29" l="1"/>
  <c r="S90" i="29"/>
  <c r="S38" i="29" s="1"/>
  <c r="S111" i="29"/>
  <c r="S112" i="29" s="1"/>
  <c r="S54" i="29"/>
  <c r="T82" i="29"/>
  <c r="T72" i="29" s="1"/>
  <c r="T100" i="29" s="1"/>
  <c r="T40" i="29"/>
  <c r="L47" i="29"/>
  <c r="S113" i="29"/>
  <c r="S114" i="29" s="1"/>
  <c r="T113" i="29"/>
  <c r="T93" i="29" s="1"/>
  <c r="T48" i="29" s="1"/>
  <c r="T71" i="29" s="1"/>
  <c r="T58" i="29" s="1"/>
  <c r="O113" i="29"/>
  <c r="O114" i="29" s="1"/>
  <c r="T86" i="29" l="1"/>
  <c r="T77" i="29"/>
  <c r="T114" i="29"/>
  <c r="U98" i="29"/>
  <c r="O98" i="29"/>
  <c r="O93" i="29"/>
  <c r="O48" i="29" s="1"/>
  <c r="O71" i="29" s="1"/>
  <c r="S98" i="29"/>
  <c r="S93" i="29"/>
  <c r="S82" i="29"/>
  <c r="S72" i="29" s="1"/>
  <c r="S100" i="29" s="1"/>
  <c r="S40" i="29"/>
  <c r="U89" i="29" l="1"/>
  <c r="U32" i="29" s="1"/>
  <c r="U57" i="29" s="1"/>
  <c r="U93" i="29" s="1"/>
  <c r="U48" i="29" s="1"/>
  <c r="U71" i="29" s="1"/>
  <c r="U58" i="29" s="1"/>
  <c r="U86" i="29" s="1"/>
  <c r="S48" i="29"/>
  <c r="S71" i="29" s="1"/>
  <c r="S58" i="29" s="1"/>
  <c r="S89" i="29" l="1"/>
  <c r="S86" i="29"/>
  <c r="S77" i="29"/>
  <c r="U77" i="29"/>
  <c r="U85" i="29"/>
  <c r="U75" i="29"/>
  <c r="U35" i="29" s="1"/>
  <c r="U100" i="29" l="1"/>
  <c r="U112" i="29"/>
  <c r="U82" i="29" l="1"/>
  <c r="U113" i="29"/>
  <c r="U114" i="29" s="1"/>
  <c r="R35" i="29" l="1"/>
  <c r="L29" i="29"/>
  <c r="L49" i="29"/>
  <c r="Q113" i="29"/>
  <c r="Q114" i="29" s="1"/>
  <c r="X113" i="29"/>
  <c r="X114" i="29" s="1"/>
  <c r="P114" i="29"/>
  <c r="P113" i="29"/>
  <c r="R9" i="29"/>
  <c r="R51" i="29" s="1"/>
  <c r="R72" i="29" s="1"/>
  <c r="R100" i="29" s="1"/>
  <c r="L10" i="29"/>
  <c r="L11" i="29" s="1"/>
  <c r="L12" i="29" s="1"/>
  <c r="L14" i="29" s="1"/>
  <c r="L15" i="29" s="1"/>
  <c r="R98" i="29"/>
  <c r="R97" i="29"/>
  <c r="P58" i="29"/>
  <c r="P77" i="29" s="1"/>
  <c r="P89" i="29"/>
  <c r="R29" i="29"/>
  <c r="P93" i="29"/>
  <c r="P98" i="29"/>
  <c r="P71" i="29"/>
  <c r="P48" i="29"/>
  <c r="Q98" i="29"/>
  <c r="X93" i="29"/>
  <c r="X98" i="29"/>
  <c r="L42" i="29" l="1"/>
  <c r="R10" i="29"/>
  <c r="R52" i="29" s="1"/>
  <c r="R80" i="29" s="1"/>
  <c r="R43" i="29" s="1"/>
  <c r="L51" i="29"/>
  <c r="L52" i="29" s="1"/>
  <c r="L16" i="29"/>
  <c r="L17" i="29" s="1"/>
  <c r="L18" i="29" s="1"/>
  <c r="P86" i="29"/>
  <c r="L31" i="29" l="1"/>
  <c r="L30" i="29" s="1"/>
  <c r="R11" i="29"/>
  <c r="R53" i="29" s="1"/>
  <c r="R12" i="29" l="1"/>
  <c r="R54" i="29" s="1"/>
  <c r="R82" i="29" s="1"/>
  <c r="R76" i="29"/>
  <c r="R46" i="29" s="1"/>
  <c r="R81" i="29"/>
  <c r="L21" i="29"/>
  <c r="L22" i="29" s="1"/>
  <c r="L23" i="29" s="1"/>
  <c r="L80" i="29"/>
  <c r="L66" i="29" l="1"/>
  <c r="L81" i="29"/>
  <c r="L93" i="29" s="1"/>
  <c r="N52" i="29"/>
  <c r="N53" i="29" s="1"/>
  <c r="N79" i="29" s="1"/>
  <c r="R13" i="29"/>
  <c r="R55" i="29" s="1"/>
  <c r="R73" i="29" s="1"/>
  <c r="R30" i="29"/>
  <c r="L59" i="29" l="1"/>
  <c r="N54" i="29"/>
  <c r="L82" i="29"/>
  <c r="R14" i="29"/>
  <c r="L67" i="29"/>
  <c r="L26" i="29"/>
  <c r="L61" i="29" l="1"/>
  <c r="R56" i="29"/>
  <c r="R84" i="29" s="1"/>
  <c r="R40" i="29"/>
  <c r="R44" i="29"/>
  <c r="R15" i="29"/>
  <c r="R57" i="29" s="1"/>
  <c r="N55" i="29"/>
  <c r="N80" i="29" s="1"/>
  <c r="L68" i="29"/>
  <c r="L27" i="29"/>
  <c r="L100" i="29" l="1"/>
  <c r="L83" i="29"/>
  <c r="L94" i="29" s="1"/>
  <c r="L90" i="29" s="1"/>
  <c r="L69" i="29"/>
  <c r="L28" i="29"/>
  <c r="L70" i="29" s="1"/>
  <c r="L32" i="29" s="1"/>
  <c r="R85" i="29"/>
  <c r="R93" i="29"/>
  <c r="N76" i="29"/>
  <c r="N57" i="29"/>
  <c r="N81" i="29" s="1"/>
  <c r="N93" i="29" s="1"/>
  <c r="N89" i="29" s="1"/>
  <c r="R16" i="29"/>
  <c r="R41" i="29" s="1"/>
  <c r="L63" i="29" l="1"/>
  <c r="L65" i="29" s="1"/>
  <c r="L33" i="29"/>
  <c r="L34" i="29" s="1"/>
  <c r="N59" i="29"/>
  <c r="R17" i="29"/>
  <c r="R59" i="29" s="1"/>
  <c r="N61" i="29" l="1"/>
  <c r="N63" i="29" s="1"/>
  <c r="L111" i="29"/>
  <c r="L112" i="29" s="1"/>
  <c r="L113" i="29" s="1"/>
  <c r="L114" i="29" s="1"/>
  <c r="L95" i="29"/>
  <c r="L91" i="29" s="1"/>
  <c r="L84" i="29"/>
  <c r="N82" i="29"/>
  <c r="R87" i="29"/>
  <c r="R90" i="29"/>
  <c r="R38" i="29" s="1"/>
  <c r="R31" i="29"/>
  <c r="R18" i="29"/>
  <c r="L86" i="29" l="1"/>
  <c r="L87" i="29" s="1"/>
  <c r="L96" i="29"/>
  <c r="L92" i="29" s="1"/>
  <c r="N83" i="29"/>
  <c r="N94" i="29" s="1"/>
  <c r="N90" i="29" s="1"/>
  <c r="R19" i="29"/>
  <c r="R61" i="29" s="1"/>
  <c r="R94" i="29" s="1"/>
  <c r="R60" i="29"/>
  <c r="R42" i="29"/>
  <c r="R37" i="29" s="1"/>
  <c r="N100" i="29" l="1"/>
  <c r="R20" i="29"/>
  <c r="R62" i="29" s="1"/>
  <c r="R88" i="29"/>
  <c r="R74" i="29"/>
  <c r="R111" i="29" s="1"/>
  <c r="R112" i="29" s="1"/>
  <c r="R113" i="29" s="1"/>
  <c r="R114" i="29" s="1"/>
  <c r="L109" i="29"/>
  <c r="N65" i="29" l="1"/>
  <c r="N85" i="29" s="1"/>
  <c r="N84" i="29"/>
  <c r="N77" i="29"/>
  <c r="R21" i="29"/>
  <c r="R63" i="29" s="1"/>
  <c r="R91" i="29" s="1"/>
  <c r="N86" i="29" l="1"/>
  <c r="N87" i="29" s="1"/>
  <c r="N95" i="29"/>
  <c r="N91" i="29" s="1"/>
  <c r="N111" i="29"/>
  <c r="N112" i="29" s="1"/>
  <c r="N113" i="29" s="1"/>
  <c r="N114" i="29" s="1"/>
  <c r="N78" i="29"/>
  <c r="R22" i="29"/>
  <c r="R64" i="29" s="1"/>
  <c r="R78" i="29" s="1"/>
  <c r="N88" i="29" l="1"/>
  <c r="N109" i="29" s="1"/>
  <c r="N96" i="29"/>
  <c r="N92" i="29" s="1"/>
  <c r="R23" i="29"/>
  <c r="R65" i="29" l="1"/>
  <c r="R95" i="29" s="1"/>
  <c r="R45" i="29"/>
  <c r="N66" i="29"/>
  <c r="R24" i="29"/>
  <c r="R66" i="29" s="1"/>
  <c r="N67" i="29" l="1"/>
  <c r="R25" i="29"/>
  <c r="R67" i="29" s="1"/>
  <c r="R26" i="29" l="1"/>
  <c r="R68" i="29" s="1"/>
  <c r="R83" i="29" s="1"/>
  <c r="N68" i="29"/>
  <c r="N69" i="29" l="1"/>
  <c r="R27" i="29"/>
  <c r="R69" i="29" s="1"/>
  <c r="R96" i="29" l="1"/>
  <c r="R58" i="29" s="1"/>
  <c r="R92" i="29"/>
  <c r="N70" i="29"/>
  <c r="R32" i="29" s="1"/>
  <c r="R28" i="29"/>
  <c r="R70" i="29" s="1"/>
  <c r="R33" i="29" l="1"/>
  <c r="R50" i="29" s="1"/>
  <c r="R79" i="29" s="1"/>
  <c r="R39" i="29" s="1"/>
  <c r="R34" i="29"/>
  <c r="R89" i="29"/>
  <c r="R86" i="29"/>
  <c r="R77" i="29"/>
  <c r="L5" i="29"/>
  <c r="N5" i="29"/>
  <c r="N6" i="29"/>
  <c r="N7" i="29"/>
  <c r="R7" i="29"/>
  <c r="R49" i="29"/>
  <c r="R75" i="29"/>
  <c r="R6" i="29"/>
  <c r="R48" i="29"/>
  <c r="R71" i="29"/>
  <c r="R36" i="29"/>
  <c r="N37" i="29"/>
  <c r="R5" i="29"/>
  <c r="R47" i="29"/>
  <c r="R99" i="29"/>
  <c r="L6" i="29"/>
  <c r="L7" i="29"/>
</calcChain>
</file>

<file path=xl/sharedStrings.xml><?xml version="1.0" encoding="utf-8"?>
<sst xmlns="http://schemas.openxmlformats.org/spreadsheetml/2006/main" count="852" uniqueCount="439">
  <si>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</si>
  <si>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</si>
  <si>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</si>
  <si>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</si>
  <si>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</si>
  <si>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</si>
  <si>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</si>
  <si>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</si>
  <si>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</si>
  <si>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</si>
  <si>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</si>
  <si>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</si>
  <si>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</si>
  <si>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</si>
  <si>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</si>
  <si>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</si>
  <si>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</si>
  <si>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</si>
  <si>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</si>
  <si>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</si>
  <si>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</si>
  <si>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</si>
  <si>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</si>
  <si>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</si>
  <si>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</si>
  <si>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</si>
  <si>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</si>
  <si>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</si>
  <si>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</si>
  <si>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</si>
  <si>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</si>
  <si>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</si>
  <si>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</si>
  <si>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</si>
  <si>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</si>
  <si>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</si>
  <si>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</si>
  <si>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</si>
  <si>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</si>
  <si>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</si>
  <si>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</si>
  <si>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</si>
  <si>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</si>
  <si>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</si>
  <si>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</si>
  <si>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</si>
  <si>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</si>
  <si>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</si>
  <si>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</si>
  <si>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</si>
  <si>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</si>
  <si>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</si>
  <si>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</si>
  <si>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</si>
  <si>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</si>
  <si>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</si>
  <si>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</si>
  <si>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</si>
  <si>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</si>
  <si>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</si>
  <si>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</si>
  <si>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</si>
  <si>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</si>
  <si>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</si>
  <si>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</si>
  <si>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</si>
  <si>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</si>
  <si>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</si>
  <si>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</si>
  <si>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</si>
  <si>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</si>
  <si>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</si>
  <si>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</si>
  <si>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</si>
  <si>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</si>
  <si>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</si>
  <si>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</si>
  <si>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</si>
  <si>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</si>
  <si>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</si>
  <si>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</si>
  <si>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</si>
  <si>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</si>
  <si>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</si>
  <si>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</si>
  <si>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</si>
  <si>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</si>
  <si>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</si>
  <si>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</si>
  <si>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</si>
  <si>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</si>
  <si>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</si>
  <si>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</si>
  <si>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</si>
  <si>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</si>
  <si>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</si>
  <si>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</si>
  <si>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</si>
  <si>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</si>
  <si>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</si>
  <si>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</si>
  <si>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</si>
  <si>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</si>
  <si>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</si>
  <si>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</si>
  <si>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</si>
  <si>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</si>
  <si>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</si>
  <si>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</si>
  <si>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</si>
  <si>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</si>
  <si>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</si>
  <si>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</si>
  <si>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</si>
  <si>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</si>
  <si>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</si>
  <si>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</si>
  <si>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</si>
  <si>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</si>
  <si>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</si>
  <si>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</si>
  <si>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</si>
  <si>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</si>
  <si>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</si>
  <si>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</si>
  <si>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</si>
  <si>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</si>
  <si>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</si>
  <si>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</si>
  <si>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</si>
  <si>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</si>
  <si>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</si>
  <si>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</si>
  <si>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</si>
  <si>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</si>
  <si>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</si>
  <si>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</si>
  <si>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</si>
  <si>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</si>
  <si>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</si>
  <si>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</si>
  <si>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</si>
  <si>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</si>
  <si>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</si>
  <si>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</si>
  <si>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</si>
  <si>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</si>
  <si>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</si>
  <si>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</si>
  <si>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</si>
  <si>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</si>
  <si>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</si>
  <si>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</si>
  <si>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</si>
  <si>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</si>
  <si>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</si>
  <si>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</si>
  <si>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</si>
  <si>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</si>
  <si>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</si>
  <si>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</si>
  <si>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</si>
  <si>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</si>
  <si>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</si>
  <si>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</si>
  <si>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</si>
  <si>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</si>
  <si>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</si>
  <si>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</si>
  <si>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</si>
  <si>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</si>
  <si>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</si>
  <si>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</si>
  <si>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</si>
  <si>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</si>
  <si>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</si>
  <si>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</si>
  <si>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</si>
  <si>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</si>
  <si>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</si>
  <si>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</si>
  <si>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</si>
  <si>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</si>
  <si>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</si>
  <si>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</si>
  <si>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</si>
  <si>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</si>
  <si>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</si>
  <si>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</si>
  <si>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</si>
  <si>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</si>
  <si>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</si>
  <si>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</si>
  <si>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</si>
  <si>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</si>
  <si>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</si>
  <si>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</si>
  <si>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</si>
  <si>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</si>
  <si>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</si>
  <si>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</si>
  <si>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</si>
  <si>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</si>
  <si>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</si>
  <si>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</si>
  <si>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</si>
  <si>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</si>
  <si>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</si>
  <si>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</si>
  <si>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</si>
  <si>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</si>
  <si>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</si>
  <si>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</si>
  <si>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</si>
  <si>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</si>
  <si>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</si>
  <si>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</si>
  <si>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</si>
  <si>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</si>
  <si>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</si>
  <si>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</si>
  <si>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</si>
  <si>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</si>
  <si>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</si>
  <si>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</si>
  <si>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</si>
  <si>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</si>
  <si>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</si>
  <si>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</si>
  <si>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</si>
  <si>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</si>
  <si>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</si>
  <si>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</si>
  <si>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</si>
  <si>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</si>
  <si>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</si>
  <si>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</si>
  <si>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</si>
  <si>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</si>
  <si>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</si>
  <si>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</si>
  <si>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</si>
  <si>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</si>
  <si>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</si>
  <si>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</si>
  <si>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</si>
  <si>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</si>
  <si>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</si>
  <si>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</si>
  <si>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</si>
  <si>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</si>
  <si>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</si>
  <si>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</si>
  <si>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</si>
  <si>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</si>
  <si>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</si>
  <si>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</si>
  <si>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</si>
  <si>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</si>
  <si>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</si>
  <si>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</si>
  <si>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</si>
  <si>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</si>
  <si>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</si>
  <si>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</si>
  <si>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</si>
  <si>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</si>
  <si>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</si>
  <si>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</si>
  <si>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</si>
  <si>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</si>
  <si>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</si>
  <si>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</si>
  <si>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</si>
  <si>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</si>
  <si>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</si>
  <si>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</si>
  <si>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</si>
  <si>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</si>
  <si>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</si>
  <si>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</si>
  <si>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</si>
  <si>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</si>
  <si>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</si>
  <si>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</si>
  <si>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</si>
  <si>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</si>
  <si>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</si>
  <si>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</si>
  <si>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</si>
  <si>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</si>
  <si>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</si>
  <si>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</si>
  <si>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</si>
  <si>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</si>
  <si>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</si>
  <si>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</si>
  <si>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</si>
  <si>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</si>
  <si>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</si>
  <si>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[AHS]firespiderpurple.mdx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</si>
  <si>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</si>
  <si>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</si>
  <si>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</si>
  <si>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</si>
  <si>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</si>
  <si>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</si>
  <si>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</si>
  <si>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murozond.mdx</t>
  </si>
  <si>
    <t>deathwing_0.mdx</t>
  </si>
  <si>
    <t>boneguard.mdx</t>
  </si>
  <si>
    <t>revenant2_drustvar.mdx</t>
  </si>
  <si>
    <t>GW-XN.mdx</t>
  </si>
  <si>
    <t>%1F%1E%1E%1D%1D%1F.mdx</t>
  </si>
  <si>
    <t>%1F%1C%1C%1C%1D%1E.mdx</t>
  </si>
  <si>
    <t>%1E%1E%1F%1E%1E.mdx</t>
  </si>
  <si>
    <t>%1E%1D%1C%1C%1D%1F.mdx</t>
  </si>
  <si>
    <t>%1D%1D%1F%1C%1F.mdx</t>
  </si>
  <si>
    <t>%1D%1C%1F%1F%1F%1D.mdx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</si>
  <si>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</si>
  <si>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</si>
  <si>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</si>
  <si>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</si>
  <si>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</si>
  <si>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</si>
  <si>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</si>
  <si>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</si>
  <si>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</si>
  <si>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</si>
  <si>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</si>
  <si>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</si>
  <si>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</si>
  <si>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</si>
  <si>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</si>
  <si>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</si>
  <si>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</si>
  <si>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</si>
  <si>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</si>
  <si>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</si>
  <si>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</si>
  <si>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</si>
  <si>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</si>
  <si>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</si>
  <si>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</si>
  <si>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</si>
  <si>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</si>
  <si>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</si>
  <si>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</si>
  <si>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</si>
  <si>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</si>
  <si>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</si>
  <si>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</si>
  <si>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</si>
  <si>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</si>
  <si>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</si>
  <si>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</si>
  <si>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</si>
  <si>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</si>
  <si>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</si>
  <si>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</si>
  <si>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</si>
  <si>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</si>
  <si>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</si>
  <si>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</si>
  <si>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</si>
  <si>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</si>
  <si>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</si>
  <si>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</si>
  <si>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</si>
  <si>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</si>
  <si>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</si>
  <si>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</si>
  <si>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</si>
  <si>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</si>
  <si>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</si>
  <si>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</si>
  <si>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</si>
  <si>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</si>
  <si>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</si>
  <si>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</si>
  <si>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</si>
  <si>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</si>
  <si>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</si>
  <si>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</si>
  <si>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</si>
  <si>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</si>
  <si>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</si>
  <si>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</si>
  <si>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</si>
  <si>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</si>
  <si>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</si>
  <si>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</si>
  <si>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</si>
  <si>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</si>
  <si>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</si>
  <si>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</si>
  <si>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</si>
  <si>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</si>
  <si>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</si>
  <si>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</si>
  <si>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</si>
  <si>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</si>
  <si>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</si>
  <si>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</si>
  <si>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</si>
  <si>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</si>
  <si>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</si>
  <si>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</si>
  <si>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</si>
  <si>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</si>
  <si>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</si>
  <si>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</si>
  <si>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</si>
  <si>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</si>
  <si>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</si>
  <si>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</si>
  <si>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</si>
  <si>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</si>
  <si>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</si>
  <si>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</si>
  <si>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</si>
  <si>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</si>
  <si>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</si>
  <si>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</si>
  <si>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</si>
  <si>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</si>
  <si>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</si>
  <si>
    <t>npfl</t>
    <phoneticPr fontId="6" type="noConversion"/>
  </si>
  <si>
    <t>nubw</t>
    <phoneticPr fontId="6" type="noConversion"/>
  </si>
  <si>
    <t>ninf</t>
    <phoneticPr fontId="6" type="noConversion"/>
  </si>
  <si>
    <t>HeroTaurenChieftain.mdx</t>
    <phoneticPr fontId="6" type="noConversion"/>
  </si>
  <si>
    <t>murozond.mdx</t>
    <phoneticPr fontId="6" type="noConversion"/>
  </si>
  <si>
    <t>nmit</t>
    <phoneticPr fontId="6" type="noConversion"/>
  </si>
  <si>
    <t>nnwq</t>
    <phoneticPr fontId="6" type="noConversion"/>
  </si>
  <si>
    <t>Emoo</t>
    <phoneticPr fontId="6" type="noConversion"/>
  </si>
  <si>
    <t>ncnk</t>
    <phoneticPr fontId="6" type="noConversion"/>
  </si>
  <si>
    <t>Phoenix2.mdx</t>
    <phoneticPr fontId="6" type="noConversion"/>
  </si>
  <si>
    <t>洗练石boss3</t>
    <phoneticPr fontId="6" type="noConversion"/>
  </si>
  <si>
    <t>%1D%1E%1E%1C%1F%1C.mdx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</si>
</sst>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tabSelected="1" workbookViewId="0">
      <pane xSplit="1" ySplit="3" topLeftCell="B37" activePane="bottomRight" state="frozen"/>
      <selection pane="topRight"/>
      <selection pane="bottomLeft"/>
      <selection pane="bottomRight" activeCell="N48" sqref="N48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347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327</v>
      </c>
      <c r="C4" s="28" t="s">
        <v>324</v>
      </c>
      <c r="D4" s="1"/>
      <c r="E4" s="1"/>
      <c r="F4" s="1"/>
      <c r="G4" s="1">
        <v>1</v>
      </c>
      <c r="H4" s="1"/>
      <c r="I4" s="1">
        <v>10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325</v>
      </c>
      <c r="D5" s="1"/>
      <c r="F5" s="2"/>
      <c r="G5" s="1">
        <v>1</v>
      </c>
      <c r="I5" s="1">
        <v>10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10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10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10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10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10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10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10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10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10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10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10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10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10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10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10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10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1">
        <v>10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1">
        <v>10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10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10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10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10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10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345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344</v>
      </c>
      <c r="B34" s="11" t="s">
        <v>136</v>
      </c>
      <c r="C34" s="27" t="s">
        <v>350</v>
      </c>
      <c r="D34" s="3" t="s">
        <v>242</v>
      </c>
      <c r="F34" s="2"/>
      <c r="G34" s="3">
        <v>1.5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350</v>
      </c>
      <c r="D35" s="3"/>
      <c r="F35" s="2"/>
      <c r="G35" s="3">
        <v>0.8</v>
      </c>
      <c r="I35" s="1">
        <v>10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1">
        <v>10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1">
        <v>10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1">
        <v>10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1">
        <v>10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1">
        <v>10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1">
        <v>10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1">
        <v>10</v>
      </c>
    </row>
    <row r="43" spans="1:9" ht="15" x14ac:dyDescent="0.15">
      <c r="A43" s="27" t="s">
        <v>410</v>
      </c>
      <c r="B43" s="11" t="s">
        <v>346</v>
      </c>
      <c r="C43" s="27" t="s">
        <v>326</v>
      </c>
      <c r="D43" s="3"/>
      <c r="F43" s="2"/>
      <c r="G43" s="3">
        <v>0.7</v>
      </c>
      <c r="I43" s="1">
        <v>10</v>
      </c>
    </row>
    <row r="44" spans="1:9" ht="15" x14ac:dyDescent="0.15">
      <c r="A44" s="27" t="s">
        <v>411</v>
      </c>
      <c r="B44" s="11" t="s">
        <v>146</v>
      </c>
      <c r="C44" s="27" t="s">
        <v>326</v>
      </c>
      <c r="D44" s="3"/>
      <c r="F44" s="2"/>
      <c r="G44" s="3">
        <v>0.8</v>
      </c>
      <c r="I44" s="1">
        <v>10</v>
      </c>
    </row>
    <row r="45" spans="1:9" ht="15" x14ac:dyDescent="0.15">
      <c r="A45" s="27" t="s">
        <v>412</v>
      </c>
      <c r="B45" s="11" t="s">
        <v>147</v>
      </c>
      <c r="C45" s="27" t="s">
        <v>326</v>
      </c>
      <c r="D45" s="23"/>
      <c r="F45" s="2"/>
      <c r="G45" s="3">
        <v>0.85</v>
      </c>
      <c r="I45" s="1">
        <v>10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432</v>
      </c>
      <c r="D49" s="3"/>
      <c r="F49" s="2"/>
      <c r="G49" s="3">
        <v>1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300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434</v>
      </c>
      <c r="D51" s="27"/>
      <c r="F51" s="2"/>
      <c r="G51" s="3">
        <v>1.5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435</v>
      </c>
      <c r="D52" s="3"/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301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302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303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304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305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351</v>
      </c>
      <c r="D58" s="3" t="s">
        <v>306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307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352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353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351</v>
      </c>
      <c r="D62" s="3" t="s">
        <v>438</v>
      </c>
      <c r="G62" s="3">
        <v>1.6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308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309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310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311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312</v>
      </c>
      <c r="F76" s="2"/>
      <c r="G76" s="3">
        <v>1.7</v>
      </c>
      <c r="I76" s="3">
        <v>60</v>
      </c>
    </row>
    <row r="77" spans="1:9" ht="15" x14ac:dyDescent="0.15">
      <c r="A77" s="27" t="s">
        <v>437</v>
      </c>
      <c r="B77" s="11" t="s">
        <v>179</v>
      </c>
      <c r="C77" s="27" t="s">
        <v>351</v>
      </c>
      <c r="D77" s="3" t="s">
        <v>436</v>
      </c>
      <c r="F77" s="2"/>
      <c r="G77" s="3">
        <v>1.5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23" t="s">
        <v>322</v>
      </c>
      <c r="G78" s="3">
        <v>1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357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313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314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433</v>
      </c>
      <c r="D82" s="23"/>
      <c r="F82" s="2"/>
      <c r="G82" s="3"/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315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356</v>
      </c>
      <c r="D84" s="3" t="s">
        <v>438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316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318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317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340</v>
      </c>
      <c r="G88" s="3">
        <v>1.1000000000000001</v>
      </c>
      <c r="I88" s="3">
        <v>60</v>
      </c>
    </row>
    <row r="89" spans="1:9" ht="15" x14ac:dyDescent="0.15">
      <c r="A89" s="50" t="s">
        <v>358</v>
      </c>
      <c r="B89" s="11" t="s">
        <v>221</v>
      </c>
      <c r="C89" s="27" t="s">
        <v>401</v>
      </c>
      <c r="D89" s="3"/>
      <c r="G89" s="3">
        <v>1.1000000000000001</v>
      </c>
      <c r="I89" s="3">
        <v>60</v>
      </c>
    </row>
    <row r="90" spans="1:9" ht="15" x14ac:dyDescent="0.15">
      <c r="A90" s="50" t="s">
        <v>359</v>
      </c>
      <c r="B90" s="11" t="s">
        <v>222</v>
      </c>
      <c r="C90" s="27" t="s">
        <v>427</v>
      </c>
      <c r="D90" s="3"/>
      <c r="G90" s="3">
        <v>1</v>
      </c>
      <c r="I90" s="3">
        <v>60</v>
      </c>
    </row>
    <row r="91" spans="1:9" ht="15" x14ac:dyDescent="0.15">
      <c r="A91" s="50" t="s">
        <v>360</v>
      </c>
      <c r="B91" s="11" t="s">
        <v>223</v>
      </c>
      <c r="C91" s="27" t="s">
        <v>428</v>
      </c>
      <c r="D91" s="3"/>
      <c r="G91" s="3">
        <v>0.8</v>
      </c>
      <c r="I91" s="3">
        <v>60</v>
      </c>
    </row>
    <row r="92" spans="1:9" ht="15" x14ac:dyDescent="0.15">
      <c r="A92" s="50" t="s">
        <v>361</v>
      </c>
      <c r="B92" s="11" t="s">
        <v>224</v>
      </c>
      <c r="C92" s="27" t="s">
        <v>429</v>
      </c>
      <c r="D92" s="3"/>
      <c r="G92" s="3">
        <v>0.7</v>
      </c>
      <c r="I92" s="3">
        <v>60</v>
      </c>
    </row>
    <row r="93" spans="1:9" ht="15" x14ac:dyDescent="0.15">
      <c r="A93" s="50" t="s">
        <v>362</v>
      </c>
      <c r="B93" s="11" t="s">
        <v>225</v>
      </c>
      <c r="C93" s="27" t="s">
        <v>45</v>
      </c>
      <c r="D93" s="3" t="s">
        <v>319</v>
      </c>
      <c r="G93" s="3">
        <v>2.5</v>
      </c>
      <c r="I93" s="3">
        <v>60</v>
      </c>
    </row>
    <row r="94" spans="1:9" ht="15" x14ac:dyDescent="0.15">
      <c r="A94" s="50" t="s">
        <v>363</v>
      </c>
      <c r="B94" s="11" t="s">
        <v>226</v>
      </c>
      <c r="C94" s="27" t="s">
        <v>45</v>
      </c>
      <c r="D94" s="23" t="s">
        <v>320</v>
      </c>
      <c r="G94" s="3">
        <v>2.5</v>
      </c>
      <c r="I94" s="3">
        <v>60</v>
      </c>
    </row>
    <row r="95" spans="1:9" ht="15" x14ac:dyDescent="0.15">
      <c r="A95" s="50" t="s">
        <v>364</v>
      </c>
      <c r="B95" s="11" t="s">
        <v>227</v>
      </c>
      <c r="C95" s="27" t="s">
        <v>45</v>
      </c>
      <c r="D95" s="23" t="s">
        <v>321</v>
      </c>
      <c r="G95" s="3">
        <v>2.5</v>
      </c>
      <c r="I95" s="3">
        <v>60</v>
      </c>
    </row>
    <row r="96" spans="1:9" ht="15" x14ac:dyDescent="0.15">
      <c r="A96" s="50" t="s">
        <v>365</v>
      </c>
      <c r="B96" s="11" t="s">
        <v>228</v>
      </c>
      <c r="C96" s="27" t="s">
        <v>45</v>
      </c>
      <c r="D96" s="23" t="s">
        <v>322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323</v>
      </c>
      <c r="G97" s="3">
        <v>1</v>
      </c>
      <c r="I97" s="1">
        <v>10</v>
      </c>
    </row>
    <row r="98" spans="1:9" ht="15" x14ac:dyDescent="0.15">
      <c r="A98" s="3" t="s">
        <v>328</v>
      </c>
      <c r="B98" s="11" t="s">
        <v>329</v>
      </c>
      <c r="C98" s="27" t="s">
        <v>45</v>
      </c>
      <c r="D98" s="23" t="s">
        <v>354</v>
      </c>
      <c r="G98" s="3">
        <v>1.5</v>
      </c>
      <c r="I98" s="3">
        <v>60</v>
      </c>
    </row>
    <row r="99" spans="1:9" ht="15" x14ac:dyDescent="0.15">
      <c r="A99" s="51" t="s">
        <v>366</v>
      </c>
      <c r="B99" s="11" t="s">
        <v>367</v>
      </c>
      <c r="C99" s="26" t="s">
        <v>368</v>
      </c>
      <c r="G99" s="3">
        <v>1.5</v>
      </c>
      <c r="I99" s="1">
        <v>10</v>
      </c>
    </row>
    <row r="100" spans="1:9" ht="15" x14ac:dyDescent="0.15">
      <c r="A100" s="52" t="s">
        <v>421</v>
      </c>
      <c r="B100" s="11" t="s">
        <v>380</v>
      </c>
      <c r="C100" s="50" t="s">
        <v>389</v>
      </c>
      <c r="G100" s="3">
        <v>1</v>
      </c>
      <c r="I100" s="3">
        <v>60</v>
      </c>
    </row>
    <row r="101" spans="1:9" ht="15" x14ac:dyDescent="0.15">
      <c r="A101" s="52" t="s">
        <v>422</v>
      </c>
      <c r="B101" s="11" t="s">
        <v>381</v>
      </c>
      <c r="C101" s="50" t="s">
        <v>390</v>
      </c>
      <c r="G101" s="3">
        <v>1</v>
      </c>
      <c r="I101" s="3">
        <v>60</v>
      </c>
    </row>
    <row r="102" spans="1:9" ht="15" x14ac:dyDescent="0.15">
      <c r="A102" s="52" t="s">
        <v>423</v>
      </c>
      <c r="B102" s="11" t="s">
        <v>382</v>
      </c>
      <c r="C102" s="50" t="s">
        <v>391</v>
      </c>
      <c r="G102" s="3">
        <v>1</v>
      </c>
      <c r="I102" s="3">
        <v>60</v>
      </c>
    </row>
    <row r="103" spans="1:9" ht="15" x14ac:dyDescent="0.15">
      <c r="A103" s="52" t="s">
        <v>424</v>
      </c>
      <c r="B103" s="11" t="s">
        <v>383</v>
      </c>
      <c r="C103" s="50" t="s">
        <v>392</v>
      </c>
      <c r="G103" s="3">
        <v>1</v>
      </c>
      <c r="I103" s="3">
        <v>60</v>
      </c>
    </row>
    <row r="104" spans="1:9" ht="15" x14ac:dyDescent="0.15">
      <c r="A104" s="52" t="s">
        <v>418</v>
      </c>
      <c r="B104" s="11" t="s">
        <v>384</v>
      </c>
      <c r="C104" s="27" t="s">
        <v>45</v>
      </c>
      <c r="D104" s="50" t="s">
        <v>393</v>
      </c>
      <c r="G104" s="3">
        <v>1</v>
      </c>
      <c r="I104" s="3">
        <v>60</v>
      </c>
    </row>
    <row r="105" spans="1:9" ht="15" x14ac:dyDescent="0.15">
      <c r="A105" s="52" t="s">
        <v>419</v>
      </c>
      <c r="B105" s="11" t="s">
        <v>385</v>
      </c>
      <c r="C105" s="27" t="s">
        <v>45</v>
      </c>
      <c r="D105" s="50" t="s">
        <v>413</v>
      </c>
      <c r="G105" s="3">
        <v>1</v>
      </c>
      <c r="I105" s="3">
        <v>60</v>
      </c>
    </row>
    <row r="106" spans="1:9" ht="15" x14ac:dyDescent="0.15">
      <c r="A106" s="52" t="s">
        <v>420</v>
      </c>
      <c r="B106" s="11" t="s">
        <v>386</v>
      </c>
      <c r="C106" s="27" t="s">
        <v>45</v>
      </c>
      <c r="D106" s="50" t="s">
        <v>394</v>
      </c>
      <c r="G106" s="3">
        <v>1</v>
      </c>
      <c r="I106" s="3">
        <v>60</v>
      </c>
    </row>
    <row r="107" spans="1:9" ht="15" x14ac:dyDescent="0.15">
      <c r="A107" s="52" t="s">
        <v>425</v>
      </c>
      <c r="B107" s="11" t="s">
        <v>387</v>
      </c>
      <c r="C107" s="27" t="s">
        <v>45</v>
      </c>
      <c r="D107" s="54" t="s">
        <v>416</v>
      </c>
      <c r="G107" s="3">
        <v>1</v>
      </c>
      <c r="I107" s="3">
        <v>60</v>
      </c>
    </row>
    <row r="108" spans="1:9" ht="15" x14ac:dyDescent="0.15">
      <c r="A108" s="52" t="s">
        <v>426</v>
      </c>
      <c r="B108" s="11" t="s">
        <v>388</v>
      </c>
      <c r="C108" s="27" t="s">
        <v>45</v>
      </c>
      <c r="D108" s="54" t="s">
        <v>415</v>
      </c>
      <c r="G108" s="3">
        <v>1</v>
      </c>
      <c r="I108" s="3">
        <v>60</v>
      </c>
    </row>
    <row r="109" spans="1:9" ht="15" x14ac:dyDescent="0.15">
      <c r="A109" s="32" t="s">
        <v>395</v>
      </c>
      <c r="B109" s="11" t="s">
        <v>396</v>
      </c>
      <c r="C109" s="27" t="s">
        <v>45</v>
      </c>
      <c r="D109" s="17" t="s">
        <v>397</v>
      </c>
      <c r="G109" s="3">
        <v>1.5</v>
      </c>
      <c r="I109" s="3">
        <v>60</v>
      </c>
    </row>
    <row r="110" spans="1:9" ht="15" x14ac:dyDescent="0.15">
      <c r="A110" s="16" t="s">
        <v>398</v>
      </c>
      <c r="B110" s="11" t="s">
        <v>399</v>
      </c>
      <c r="C110" s="27" t="s">
        <v>400</v>
      </c>
      <c r="G110" s="3">
        <v>1</v>
      </c>
      <c r="I110" s="1">
        <v>10</v>
      </c>
    </row>
    <row r="111" spans="1:9" ht="15" x14ac:dyDescent="0.15">
      <c r="A111" s="50" t="s">
        <v>402</v>
      </c>
      <c r="B111" s="11" t="s">
        <v>406</v>
      </c>
      <c r="C111" s="27" t="s">
        <v>45</v>
      </c>
      <c r="D111" s="17" t="s">
        <v>393</v>
      </c>
      <c r="G111" s="3">
        <v>1</v>
      </c>
      <c r="I111" s="3">
        <v>60</v>
      </c>
    </row>
    <row r="112" spans="1:9" ht="15" x14ac:dyDescent="0.15">
      <c r="A112" s="50" t="s">
        <v>403</v>
      </c>
      <c r="B112" s="11" t="s">
        <v>407</v>
      </c>
      <c r="C112" s="27" t="s">
        <v>45</v>
      </c>
      <c r="D112" s="2" t="s">
        <v>417</v>
      </c>
      <c r="G112" s="3">
        <v>1</v>
      </c>
      <c r="I112" s="3">
        <v>60</v>
      </c>
    </row>
    <row r="113" spans="1:9" ht="15" x14ac:dyDescent="0.15">
      <c r="A113" s="50" t="s">
        <v>404</v>
      </c>
      <c r="B113" s="11" t="s">
        <v>408</v>
      </c>
      <c r="C113" s="27" t="s">
        <v>45</v>
      </c>
      <c r="D113" s="2" t="s">
        <v>431</v>
      </c>
      <c r="G113" s="3">
        <v>0.62</v>
      </c>
      <c r="I113" s="3">
        <v>60</v>
      </c>
    </row>
    <row r="114" spans="1:9" ht="15" x14ac:dyDescent="0.15">
      <c r="A114" s="50" t="s">
        <v>405</v>
      </c>
      <c r="B114" s="11" t="s">
        <v>409</v>
      </c>
      <c r="C114" s="27" t="s">
        <v>45</v>
      </c>
      <c r="D114" s="2" t="s">
        <v>430</v>
      </c>
      <c r="G114" s="3">
        <v>1</v>
      </c>
      <c r="I114" s="3">
        <v>60</v>
      </c>
    </row>
  </sheetData>
  <phoneticPr fontId="6" type="noConversion"/>
  <conditionalFormatting sqref="A99">
    <cfRule type="duplicateValues" dxfId="5" priority="5"/>
  </conditionalFormatting>
  <conditionalFormatting sqref="D98">
    <cfRule type="duplicateValues" dxfId="4" priority="3"/>
  </conditionalFormatting>
  <conditionalFormatting sqref="D4:D50 D52:D61 D71:D77 D79:D97 D63:D69">
    <cfRule type="duplicateValues" dxfId="3" priority="9"/>
  </conditionalFormatting>
  <conditionalFormatting sqref="D78">
    <cfRule type="duplicateValues" dxfId="1" priority="2"/>
  </conditionalFormatting>
  <conditionalFormatting sqref="D62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topLeftCell="D1" zoomScaleNormal="100" workbookViewId="0">
      <pane ySplit="3" topLeftCell="A22" activePane="bottomLeft" state="frozen"/>
      <selection activeCell="D1" sqref="D1"/>
      <selection pane="bottomLeft" activeCell="W45" sqref="W45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337</v>
      </c>
      <c r="L1" s="12" t="s">
        <v>339</v>
      </c>
      <c r="M1" s="12" t="s">
        <v>339</v>
      </c>
      <c r="N1" s="12" t="s">
        <v>339</v>
      </c>
      <c r="O1" s="12" t="s">
        <v>339</v>
      </c>
      <c r="P1" s="12" t="s">
        <v>339</v>
      </c>
      <c r="Q1" s="12" t="s">
        <v>339</v>
      </c>
      <c r="R1" s="12" t="s">
        <v>339</v>
      </c>
      <c r="S1" s="12" t="s">
        <v>339</v>
      </c>
      <c r="T1" s="12" t="s">
        <v>339</v>
      </c>
      <c r="U1" s="12" t="s">
        <v>339</v>
      </c>
      <c r="V1" s="12" t="s">
        <v>339</v>
      </c>
      <c r="W1" s="12" t="s">
        <v>339</v>
      </c>
      <c r="X1" s="12" t="s">
        <v>339</v>
      </c>
      <c r="Y1" s="12" t="s">
        <v>339</v>
      </c>
      <c r="Z1" s="6" t="s">
        <v>338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331</v>
      </c>
      <c r="H2" s="13" t="s">
        <v>332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341</v>
      </c>
      <c r="D3" s="1" t="s">
        <v>218</v>
      </c>
      <c r="E3" s="20" t="s">
        <v>197</v>
      </c>
      <c r="F3" s="7" t="s">
        <v>187</v>
      </c>
      <c r="G3" s="8" t="s">
        <v>333</v>
      </c>
      <c r="H3" s="8" t="s">
        <v>334</v>
      </c>
      <c r="I3" s="7" t="s">
        <v>188</v>
      </c>
      <c r="J3" s="45" t="s">
        <v>355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348</v>
      </c>
      <c r="W3" s="38" t="s">
        <v>349</v>
      </c>
      <c r="X3" s="38" t="s">
        <v>335</v>
      </c>
      <c r="Y3" s="38" t="s">
        <v>336</v>
      </c>
    </row>
    <row r="4" spans="1:26" ht="15" x14ac:dyDescent="0.15">
      <c r="A4" s="27" t="s">
        <v>36</v>
      </c>
      <c r="B4" s="11" t="s">
        <v>327</v>
      </c>
      <c r="C4" s="12" t="s">
        <v>330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>L4*5</f>
        <v>100000</v>
      </c>
      <c r="O4" s="35">
        <v>100</v>
      </c>
      <c r="P4" s="35">
        <v>350</v>
      </c>
      <c r="Q4" s="36">
        <v>1</v>
      </c>
      <c r="R4" s="35">
        <f t="shared" ref="R4:R34" si="0">N4*0.0001</f>
        <v>10</v>
      </c>
      <c r="S4" s="35">
        <f t="shared" ref="S4:S33" si="1">O4*0.01</f>
        <v>1</v>
      </c>
      <c r="T4" s="37">
        <v>200</v>
      </c>
      <c r="U4" s="7">
        <v>10</v>
      </c>
      <c r="V4" s="42">
        <v>20</v>
      </c>
      <c r="W4" s="42">
        <v>200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330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355</v>
      </c>
      <c r="Q5" s="36">
        <v>1</v>
      </c>
      <c r="R5" s="35">
        <f t="shared" si="0"/>
        <v>100</v>
      </c>
      <c r="S5" s="35">
        <f t="shared" si="1"/>
        <v>1</v>
      </c>
      <c r="T5" s="37">
        <v>200</v>
      </c>
      <c r="U5" s="7">
        <v>20</v>
      </c>
      <c r="V5" s="42">
        <v>20</v>
      </c>
      <c r="W5" s="42">
        <v>200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330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>L5*2</f>
        <v>400000</v>
      </c>
      <c r="M6" s="35">
        <v>36</v>
      </c>
      <c r="N6" s="35">
        <f>N5*2</f>
        <v>2000000</v>
      </c>
      <c r="O6" s="35">
        <v>100</v>
      </c>
      <c r="P6" s="35">
        <v>360</v>
      </c>
      <c r="Q6" s="36">
        <v>1</v>
      </c>
      <c r="R6" s="35">
        <f t="shared" si="0"/>
        <v>200</v>
      </c>
      <c r="S6" s="35">
        <f t="shared" si="1"/>
        <v>1</v>
      </c>
      <c r="T6" s="37">
        <v>200</v>
      </c>
      <c r="U6" s="7">
        <v>30</v>
      </c>
      <c r="V6" s="42">
        <v>20</v>
      </c>
      <c r="W6" s="42">
        <v>200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330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>L6*2</f>
        <v>800000</v>
      </c>
      <c r="M7" s="35">
        <v>72</v>
      </c>
      <c r="N7" s="35">
        <f>N6*2</f>
        <v>4000000</v>
      </c>
      <c r="O7" s="35">
        <v>1000</v>
      </c>
      <c r="P7" s="35">
        <v>365</v>
      </c>
      <c r="Q7" s="36">
        <v>1</v>
      </c>
      <c r="R7" s="35">
        <f t="shared" si="0"/>
        <v>400</v>
      </c>
      <c r="S7" s="35">
        <f t="shared" si="1"/>
        <v>10</v>
      </c>
      <c r="T7" s="37">
        <v>200</v>
      </c>
      <c r="U7" s="7">
        <v>40</v>
      </c>
      <c r="V7" s="42">
        <v>20</v>
      </c>
      <c r="W7" s="42">
        <v>200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330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370</v>
      </c>
      <c r="Q8" s="36">
        <v>1</v>
      </c>
      <c r="R8" s="35">
        <f t="shared" si="0"/>
        <v>800</v>
      </c>
      <c r="S8" s="35">
        <f t="shared" si="1"/>
        <v>10</v>
      </c>
      <c r="T8" s="37">
        <v>200</v>
      </c>
      <c r="U8" s="7">
        <v>50</v>
      </c>
      <c r="V8" s="42">
        <v>20</v>
      </c>
      <c r="W8" s="42">
        <v>200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330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L8*2</f>
        <v>8000000</v>
      </c>
      <c r="M9" s="35">
        <f t="shared" ref="M9:N9" si="2">M8*2</f>
        <v>288</v>
      </c>
      <c r="N9" s="35">
        <f t="shared" si="2"/>
        <v>16000000</v>
      </c>
      <c r="O9" s="35">
        <v>10000</v>
      </c>
      <c r="P9" s="35">
        <v>375</v>
      </c>
      <c r="Q9" s="36">
        <v>1</v>
      </c>
      <c r="R9" s="35">
        <f t="shared" si="0"/>
        <v>1600</v>
      </c>
      <c r="S9" s="35">
        <f t="shared" si="1"/>
        <v>100</v>
      </c>
      <c r="T9" s="37">
        <v>200</v>
      </c>
      <c r="U9" s="7">
        <v>60</v>
      </c>
      <c r="V9" s="42">
        <v>20</v>
      </c>
      <c r="W9" s="42">
        <v>500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330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12000000</v>
      </c>
      <c r="M10" s="35">
        <f t="shared" ref="M10:N10" si="3">M9*1.5</f>
        <v>432</v>
      </c>
      <c r="N10" s="35">
        <f t="shared" si="3"/>
        <v>24000000</v>
      </c>
      <c r="O10" s="35">
        <v>10000</v>
      </c>
      <c r="P10" s="35">
        <v>380</v>
      </c>
      <c r="Q10" s="36">
        <v>1</v>
      </c>
      <c r="R10" s="35">
        <f t="shared" si="0"/>
        <v>2400</v>
      </c>
      <c r="S10" s="35">
        <f t="shared" si="1"/>
        <v>100</v>
      </c>
      <c r="T10" s="37">
        <v>200</v>
      </c>
      <c r="U10" s="7">
        <v>70</v>
      </c>
      <c r="V10" s="42">
        <v>20</v>
      </c>
      <c r="W10" s="42">
        <v>500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330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18000000</v>
      </c>
      <c r="M11" s="35">
        <f t="shared" ref="M11:N11" si="4">M10*1.5</f>
        <v>648</v>
      </c>
      <c r="N11" s="35">
        <f t="shared" si="4"/>
        <v>36000000</v>
      </c>
      <c r="O11" s="35">
        <v>10000</v>
      </c>
      <c r="P11" s="35">
        <v>385</v>
      </c>
      <c r="Q11" s="36">
        <v>1</v>
      </c>
      <c r="R11" s="35">
        <f t="shared" si="0"/>
        <v>3600</v>
      </c>
      <c r="S11" s="35">
        <f t="shared" si="1"/>
        <v>100</v>
      </c>
      <c r="T11" s="37">
        <v>200</v>
      </c>
      <c r="U11" s="7">
        <v>80</v>
      </c>
      <c r="V11" s="42">
        <v>20</v>
      </c>
      <c r="W11" s="42">
        <v>500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330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>L11*1.5</f>
        <v>27000000</v>
      </c>
      <c r="M12" s="35">
        <f t="shared" ref="M12:N12" si="5">M11*1.5</f>
        <v>972</v>
      </c>
      <c r="N12" s="35">
        <f t="shared" si="5"/>
        <v>54000000</v>
      </c>
      <c r="O12" s="35">
        <v>10000</v>
      </c>
      <c r="P12" s="35">
        <v>390</v>
      </c>
      <c r="Q12" s="36">
        <v>1</v>
      </c>
      <c r="R12" s="35">
        <f t="shared" si="0"/>
        <v>5400</v>
      </c>
      <c r="S12" s="35">
        <f t="shared" si="1"/>
        <v>100</v>
      </c>
      <c r="T12" s="37">
        <v>200</v>
      </c>
      <c r="U12" s="7">
        <v>90</v>
      </c>
      <c r="V12" s="42">
        <v>20</v>
      </c>
      <c r="W12" s="42">
        <v>500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330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L12*1.4</f>
        <v>37800000</v>
      </c>
      <c r="M13" s="35">
        <f t="shared" ref="M13:N13" si="6">M12*1.4</f>
        <v>1360.8</v>
      </c>
      <c r="N13" s="35">
        <f t="shared" si="6"/>
        <v>75600000</v>
      </c>
      <c r="O13" s="35">
        <v>10000</v>
      </c>
      <c r="P13" s="35">
        <v>395</v>
      </c>
      <c r="Q13" s="36">
        <v>0.9</v>
      </c>
      <c r="R13" s="35">
        <f t="shared" si="0"/>
        <v>7560</v>
      </c>
      <c r="S13" s="35">
        <f t="shared" si="1"/>
        <v>100</v>
      </c>
      <c r="T13" s="37">
        <v>200</v>
      </c>
      <c r="U13" s="7">
        <v>100</v>
      </c>
      <c r="V13" s="42">
        <v>20</v>
      </c>
      <c r="W13" s="42">
        <v>500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330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>L13*1.3</f>
        <v>49140000</v>
      </c>
      <c r="M14" s="35">
        <f t="shared" ref="M14:N14" si="7">M13*1.3</f>
        <v>1769.04</v>
      </c>
      <c r="N14" s="35">
        <f t="shared" si="7"/>
        <v>98280000</v>
      </c>
      <c r="O14" s="35">
        <v>10000</v>
      </c>
      <c r="P14" s="35">
        <v>400</v>
      </c>
      <c r="Q14" s="36">
        <v>0.9</v>
      </c>
      <c r="R14" s="35">
        <f t="shared" si="0"/>
        <v>9828</v>
      </c>
      <c r="S14" s="35">
        <f t="shared" si="1"/>
        <v>100</v>
      </c>
      <c r="T14" s="37">
        <v>200</v>
      </c>
      <c r="U14" s="7">
        <v>150</v>
      </c>
      <c r="V14" s="42">
        <v>20</v>
      </c>
      <c r="W14" s="42">
        <v>1500</v>
      </c>
      <c r="X14" s="42">
        <v>1</v>
      </c>
      <c r="Y14" s="42">
        <v>10</v>
      </c>
    </row>
    <row r="15" spans="1:26" ht="15" x14ac:dyDescent="0.15">
      <c r="A15" s="27" t="s">
        <v>57</v>
      </c>
      <c r="B15" s="11" t="s">
        <v>117</v>
      </c>
      <c r="C15" s="12" t="s">
        <v>330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>L14*1.3</f>
        <v>63882000</v>
      </c>
      <c r="M15" s="35">
        <f>M14*1.3</f>
        <v>2299.752</v>
      </c>
      <c r="N15" s="35">
        <f>N14*1.3</f>
        <v>127764000</v>
      </c>
      <c r="O15" s="35">
        <v>10000</v>
      </c>
      <c r="P15" s="35">
        <v>405</v>
      </c>
      <c r="Q15" s="36">
        <v>0.9</v>
      </c>
      <c r="R15" s="35">
        <f t="shared" si="0"/>
        <v>12776.400000000001</v>
      </c>
      <c r="S15" s="35">
        <f t="shared" si="1"/>
        <v>100</v>
      </c>
      <c r="T15" s="37">
        <v>200</v>
      </c>
      <c r="U15" s="7">
        <v>150</v>
      </c>
      <c r="V15" s="42">
        <v>20</v>
      </c>
      <c r="W15" s="42">
        <v>1500</v>
      </c>
      <c r="X15" s="42">
        <v>2</v>
      </c>
      <c r="Y15" s="42">
        <v>20</v>
      </c>
    </row>
    <row r="16" spans="1:26" ht="15" x14ac:dyDescent="0.15">
      <c r="A16" s="27" t="s">
        <v>15</v>
      </c>
      <c r="B16" s="11" t="s">
        <v>118</v>
      </c>
      <c r="C16" s="12" t="s">
        <v>330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L28" si="8">L15*1.2</f>
        <v>76658400</v>
      </c>
      <c r="M16" s="35">
        <f>M15*1.2</f>
        <v>2759.7023999999997</v>
      </c>
      <c r="N16" s="35">
        <f t="shared" ref="N16" si="9">N15*1.2</f>
        <v>153316800</v>
      </c>
      <c r="O16" s="35">
        <v>10000</v>
      </c>
      <c r="P16" s="35">
        <v>410</v>
      </c>
      <c r="Q16" s="36">
        <v>0.9</v>
      </c>
      <c r="R16" s="35">
        <f t="shared" si="0"/>
        <v>15331.68</v>
      </c>
      <c r="S16" s="35">
        <f t="shared" si="1"/>
        <v>100</v>
      </c>
      <c r="T16" s="37">
        <v>200</v>
      </c>
      <c r="U16" s="7">
        <v>150</v>
      </c>
      <c r="V16" s="42">
        <v>20</v>
      </c>
      <c r="W16" s="42">
        <v>1500</v>
      </c>
      <c r="X16" s="42">
        <v>3</v>
      </c>
      <c r="Y16" s="42">
        <v>30</v>
      </c>
    </row>
    <row r="17" spans="1:25" ht="14.25" customHeight="1" x14ac:dyDescent="0.15">
      <c r="A17" s="27" t="s">
        <v>60</v>
      </c>
      <c r="B17" s="11" t="s">
        <v>119</v>
      </c>
      <c r="C17" s="12" t="s">
        <v>330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8"/>
        <v>91990080</v>
      </c>
      <c r="M17" s="35">
        <f t="shared" ref="M17:N17" si="10">M16*1.2</f>
        <v>3311.6428799999994</v>
      </c>
      <c r="N17" s="35">
        <f t="shared" si="10"/>
        <v>183980160</v>
      </c>
      <c r="O17" s="35">
        <v>10000</v>
      </c>
      <c r="P17" s="35">
        <v>415</v>
      </c>
      <c r="Q17" s="36">
        <v>0.9</v>
      </c>
      <c r="R17" s="35">
        <f t="shared" si="0"/>
        <v>18398.016</v>
      </c>
      <c r="S17" s="35">
        <f t="shared" si="1"/>
        <v>100</v>
      </c>
      <c r="T17" s="37">
        <v>200</v>
      </c>
      <c r="U17" s="7">
        <v>150</v>
      </c>
      <c r="V17" s="42">
        <v>20</v>
      </c>
      <c r="W17" s="42">
        <v>1500</v>
      </c>
      <c r="X17" s="42">
        <v>4</v>
      </c>
      <c r="Y17" s="42">
        <v>40</v>
      </c>
    </row>
    <row r="18" spans="1:25" ht="15" x14ac:dyDescent="0.15">
      <c r="A18" s="27" t="s">
        <v>62</v>
      </c>
      <c r="B18" s="11" t="s">
        <v>120</v>
      </c>
      <c r="C18" s="12" t="s">
        <v>330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8"/>
        <v>110388096</v>
      </c>
      <c r="M18" s="35">
        <f t="shared" ref="M18:N18" si="11">M17*1.2</f>
        <v>3973.9714559999993</v>
      </c>
      <c r="N18" s="35">
        <f t="shared" si="11"/>
        <v>220776192</v>
      </c>
      <c r="O18" s="35">
        <v>10000</v>
      </c>
      <c r="P18" s="35">
        <v>420</v>
      </c>
      <c r="Q18" s="36">
        <v>0.9</v>
      </c>
      <c r="R18" s="35">
        <f t="shared" si="0"/>
        <v>22077.619200000001</v>
      </c>
      <c r="S18" s="35">
        <f t="shared" si="1"/>
        <v>100</v>
      </c>
      <c r="T18" s="37">
        <v>200</v>
      </c>
      <c r="U18" s="7">
        <v>150</v>
      </c>
      <c r="V18" s="42">
        <v>20</v>
      </c>
      <c r="W18" s="42">
        <v>1500</v>
      </c>
      <c r="X18" s="42">
        <v>5</v>
      </c>
      <c r="Y18" s="42">
        <v>50</v>
      </c>
    </row>
    <row r="19" spans="1:25" ht="15" x14ac:dyDescent="0.15">
      <c r="A19" s="27" t="s">
        <v>64</v>
      </c>
      <c r="B19" s="11" t="s">
        <v>121</v>
      </c>
      <c r="C19" s="12" t="s">
        <v>330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>L18*1.4</f>
        <v>154543334.39999998</v>
      </c>
      <c r="M19" s="35">
        <f t="shared" ref="M19:N19" si="12">M18*1.4</f>
        <v>5563.560038399999</v>
      </c>
      <c r="N19" s="35">
        <f t="shared" si="12"/>
        <v>309086668.79999995</v>
      </c>
      <c r="O19" s="35">
        <v>10000</v>
      </c>
      <c r="P19" s="35">
        <v>425</v>
      </c>
      <c r="Q19" s="36">
        <v>0.9</v>
      </c>
      <c r="R19" s="35">
        <f t="shared" si="0"/>
        <v>30908.666879999997</v>
      </c>
      <c r="S19" s="35">
        <f t="shared" si="1"/>
        <v>100</v>
      </c>
      <c r="T19" s="37">
        <v>200</v>
      </c>
      <c r="U19" s="7">
        <v>200</v>
      </c>
      <c r="V19" s="42">
        <v>20</v>
      </c>
      <c r="W19" s="42">
        <v>3500</v>
      </c>
      <c r="X19" s="42">
        <v>10</v>
      </c>
      <c r="Y19" s="42">
        <v>100</v>
      </c>
    </row>
    <row r="20" spans="1:25" ht="15" x14ac:dyDescent="0.15">
      <c r="A20" s="27" t="s">
        <v>66</v>
      </c>
      <c r="B20" s="11" t="s">
        <v>122</v>
      </c>
      <c r="C20" s="12" t="s">
        <v>330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>L19*1.3</f>
        <v>200906334.71999997</v>
      </c>
      <c r="M20" s="35">
        <f t="shared" ref="M20:N20" si="13">M19*1.3</f>
        <v>7232.6280499199993</v>
      </c>
      <c r="N20" s="35">
        <f t="shared" si="13"/>
        <v>401812669.43999994</v>
      </c>
      <c r="O20" s="35">
        <v>10000</v>
      </c>
      <c r="P20" s="35">
        <v>430</v>
      </c>
      <c r="Q20" s="36">
        <v>0.9</v>
      </c>
      <c r="R20" s="35">
        <f t="shared" si="0"/>
        <v>40181.266943999995</v>
      </c>
      <c r="S20" s="35">
        <f t="shared" si="1"/>
        <v>100</v>
      </c>
      <c r="T20" s="37">
        <v>200</v>
      </c>
      <c r="U20" s="7">
        <v>200</v>
      </c>
      <c r="V20" s="42">
        <v>20</v>
      </c>
      <c r="W20" s="42">
        <v>3500</v>
      </c>
      <c r="X20" s="42">
        <v>10</v>
      </c>
      <c r="Y20" s="42">
        <v>100</v>
      </c>
    </row>
    <row r="21" spans="1:25" ht="15" x14ac:dyDescent="0.15">
      <c r="A21" s="27" t="s">
        <v>70</v>
      </c>
      <c r="B21" s="11" t="s">
        <v>123</v>
      </c>
      <c r="C21" s="12" t="s">
        <v>330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si="8"/>
        <v>241087601.66399994</v>
      </c>
      <c r="M21" s="35">
        <f t="shared" ref="M21:N21" si="14">M20*1.2</f>
        <v>8679.1536599039991</v>
      </c>
      <c r="N21" s="35">
        <f t="shared" si="14"/>
        <v>482175203.32799989</v>
      </c>
      <c r="O21" s="35">
        <v>10000</v>
      </c>
      <c r="P21" s="35">
        <v>435</v>
      </c>
      <c r="Q21" s="36">
        <v>0.9</v>
      </c>
      <c r="R21" s="35">
        <f t="shared" si="0"/>
        <v>48217.520332799992</v>
      </c>
      <c r="S21" s="35">
        <f t="shared" si="1"/>
        <v>100</v>
      </c>
      <c r="T21" s="37">
        <v>200</v>
      </c>
      <c r="U21" s="7">
        <v>200</v>
      </c>
      <c r="V21" s="42">
        <v>20</v>
      </c>
      <c r="W21" s="42">
        <v>3500</v>
      </c>
      <c r="X21" s="42">
        <v>10</v>
      </c>
      <c r="Y21" s="42">
        <v>100</v>
      </c>
    </row>
    <row r="22" spans="1:25" ht="15" x14ac:dyDescent="0.15">
      <c r="A22" s="29" t="s">
        <v>68</v>
      </c>
      <c r="B22" s="11" t="s">
        <v>124</v>
      </c>
      <c r="C22" s="12" t="s">
        <v>330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si="8"/>
        <v>289305121.99679995</v>
      </c>
      <c r="M22" s="35">
        <f t="shared" ref="M22:N22" si="15">M21*1.2</f>
        <v>10414.984391884798</v>
      </c>
      <c r="N22" s="35">
        <f t="shared" si="15"/>
        <v>578610243.99359989</v>
      </c>
      <c r="O22" s="35">
        <v>10000</v>
      </c>
      <c r="P22" s="35">
        <v>440</v>
      </c>
      <c r="Q22" s="36">
        <v>0.9</v>
      </c>
      <c r="R22" s="35">
        <f t="shared" si="0"/>
        <v>57861.024399359994</v>
      </c>
      <c r="S22" s="35">
        <f t="shared" si="1"/>
        <v>100</v>
      </c>
      <c r="T22" s="37">
        <v>200</v>
      </c>
      <c r="U22" s="7">
        <v>200</v>
      </c>
      <c r="V22" s="42">
        <v>20</v>
      </c>
      <c r="W22" s="42">
        <v>3500</v>
      </c>
      <c r="X22" s="42">
        <v>10</v>
      </c>
      <c r="Y22" s="42">
        <v>100</v>
      </c>
    </row>
    <row r="23" spans="1:25" ht="15" x14ac:dyDescent="0.15">
      <c r="A23" s="29" t="s">
        <v>80</v>
      </c>
      <c r="B23" s="11" t="s">
        <v>125</v>
      </c>
      <c r="C23" s="12" t="s">
        <v>330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si="8"/>
        <v>347166146.39615995</v>
      </c>
      <c r="M23" s="35">
        <f t="shared" ref="M23:N23" si="16">M22*1.2</f>
        <v>12497.981270261758</v>
      </c>
      <c r="N23" s="35">
        <f t="shared" si="16"/>
        <v>694332292.79231989</v>
      </c>
      <c r="O23" s="35">
        <v>10000</v>
      </c>
      <c r="P23" s="35">
        <v>445</v>
      </c>
      <c r="Q23" s="36">
        <v>0.9</v>
      </c>
      <c r="R23" s="35">
        <f t="shared" si="0"/>
        <v>69433.229279231993</v>
      </c>
      <c r="S23" s="35">
        <f t="shared" si="1"/>
        <v>100</v>
      </c>
      <c r="T23" s="37">
        <v>200</v>
      </c>
      <c r="U23" s="7">
        <v>200</v>
      </c>
      <c r="V23" s="42">
        <v>20</v>
      </c>
      <c r="W23" s="42">
        <v>3500</v>
      </c>
      <c r="X23" s="42">
        <v>10</v>
      </c>
      <c r="Y23" s="42">
        <v>100</v>
      </c>
    </row>
    <row r="24" spans="1:25" ht="15" x14ac:dyDescent="0.15">
      <c r="A24" s="27" t="s">
        <v>78</v>
      </c>
      <c r="B24" s="11" t="s">
        <v>126</v>
      </c>
      <c r="C24" s="12" t="s">
        <v>330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>L23*1.4</f>
        <v>486032604.95462388</v>
      </c>
      <c r="M24" s="35">
        <f t="shared" ref="M24:N24" si="17">M23*1.4</f>
        <v>17497.173778366461</v>
      </c>
      <c r="N24" s="35">
        <f t="shared" si="17"/>
        <v>972065209.90924776</v>
      </c>
      <c r="O24" s="35">
        <v>10000</v>
      </c>
      <c r="P24" s="35">
        <v>450</v>
      </c>
      <c r="Q24" s="36">
        <v>0.75</v>
      </c>
      <c r="R24" s="35">
        <f t="shared" si="0"/>
        <v>97206.520990924779</v>
      </c>
      <c r="S24" s="35">
        <f t="shared" si="1"/>
        <v>100</v>
      </c>
      <c r="T24" s="37">
        <v>200</v>
      </c>
      <c r="U24" s="7">
        <v>300</v>
      </c>
      <c r="V24" s="42">
        <v>20</v>
      </c>
      <c r="W24" s="42">
        <v>7500</v>
      </c>
      <c r="X24" s="42">
        <v>200</v>
      </c>
      <c r="Y24" s="42">
        <v>100</v>
      </c>
    </row>
    <row r="25" spans="1:25" ht="15" x14ac:dyDescent="0.15">
      <c r="A25" s="27" t="s">
        <v>82</v>
      </c>
      <c r="B25" s="11" t="s">
        <v>127</v>
      </c>
      <c r="C25" s="12" t="s">
        <v>330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>L24*1.3</f>
        <v>631842386.44101107</v>
      </c>
      <c r="M25" s="35">
        <f t="shared" ref="M25:N25" si="18">M24*1.3</f>
        <v>22746.3259118764</v>
      </c>
      <c r="N25" s="35">
        <f t="shared" si="18"/>
        <v>1263684772.8820221</v>
      </c>
      <c r="O25" s="35">
        <v>10000</v>
      </c>
      <c r="P25" s="35">
        <v>455</v>
      </c>
      <c r="Q25" s="36">
        <v>0.75</v>
      </c>
      <c r="R25" s="35">
        <f t="shared" si="0"/>
        <v>126368.47728820222</v>
      </c>
      <c r="S25" s="35">
        <f t="shared" si="1"/>
        <v>100</v>
      </c>
      <c r="T25" s="37">
        <v>200</v>
      </c>
      <c r="U25" s="7">
        <v>300</v>
      </c>
      <c r="V25" s="42">
        <v>20</v>
      </c>
      <c r="W25" s="42">
        <v>7500</v>
      </c>
      <c r="X25" s="42">
        <v>200</v>
      </c>
      <c r="Y25" s="42">
        <v>100</v>
      </c>
    </row>
    <row r="26" spans="1:25" ht="15" x14ac:dyDescent="0.15">
      <c r="A26" s="27" t="s">
        <v>76</v>
      </c>
      <c r="B26" s="11" t="s">
        <v>128</v>
      </c>
      <c r="C26" s="12" t="s">
        <v>330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si="8"/>
        <v>758210863.72921324</v>
      </c>
      <c r="M26" s="35">
        <f t="shared" ref="M26:N26" si="19">M25*1.2</f>
        <v>27295.591094251678</v>
      </c>
      <c r="N26" s="35">
        <f t="shared" si="19"/>
        <v>1516421727.4584265</v>
      </c>
      <c r="O26" s="35">
        <v>10000</v>
      </c>
      <c r="P26" s="35">
        <v>460</v>
      </c>
      <c r="Q26" s="36">
        <v>0.75</v>
      </c>
      <c r="R26" s="35">
        <f t="shared" si="0"/>
        <v>151642.17274584266</v>
      </c>
      <c r="S26" s="35">
        <f t="shared" si="1"/>
        <v>100</v>
      </c>
      <c r="T26" s="37">
        <v>200</v>
      </c>
      <c r="U26" s="7">
        <v>300</v>
      </c>
      <c r="V26" s="42">
        <v>20</v>
      </c>
      <c r="W26" s="42">
        <v>7500</v>
      </c>
      <c r="X26" s="42">
        <v>200</v>
      </c>
      <c r="Y26" s="42">
        <v>100</v>
      </c>
    </row>
    <row r="27" spans="1:25" ht="15" x14ac:dyDescent="0.15">
      <c r="A27" s="27" t="s">
        <v>74</v>
      </c>
      <c r="B27" s="11" t="s">
        <v>129</v>
      </c>
      <c r="C27" s="12" t="s">
        <v>330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si="8"/>
        <v>909853036.47505581</v>
      </c>
      <c r="M27" s="35">
        <f t="shared" ref="M27:N27" si="20">M26*1.2</f>
        <v>32754.709313102012</v>
      </c>
      <c r="N27" s="35">
        <f t="shared" si="20"/>
        <v>1819706072.9501116</v>
      </c>
      <c r="O27" s="35">
        <v>10000</v>
      </c>
      <c r="P27" s="35">
        <v>465</v>
      </c>
      <c r="Q27" s="36">
        <v>0.75</v>
      </c>
      <c r="R27" s="35">
        <f t="shared" si="0"/>
        <v>181970.60729501117</v>
      </c>
      <c r="S27" s="35">
        <f t="shared" si="1"/>
        <v>100</v>
      </c>
      <c r="T27" s="37">
        <v>200</v>
      </c>
      <c r="U27" s="7">
        <v>300</v>
      </c>
      <c r="V27" s="42">
        <v>20</v>
      </c>
      <c r="W27" s="42">
        <v>7500</v>
      </c>
      <c r="X27" s="42">
        <v>200</v>
      </c>
      <c r="Y27" s="42">
        <v>100</v>
      </c>
    </row>
    <row r="28" spans="1:25" ht="15" x14ac:dyDescent="0.15">
      <c r="A28" s="27" t="s">
        <v>72</v>
      </c>
      <c r="B28" s="11" t="s">
        <v>130</v>
      </c>
      <c r="C28" s="12" t="s">
        <v>330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 t="shared" si="8"/>
        <v>1091823643.770067</v>
      </c>
      <c r="M28" s="35">
        <f t="shared" ref="M28:N28" si="21">M27*1.2</f>
        <v>39305.651175722414</v>
      </c>
      <c r="N28" s="35">
        <f t="shared" si="21"/>
        <v>2183647287.540134</v>
      </c>
      <c r="O28" s="35">
        <v>10000</v>
      </c>
      <c r="P28" s="35">
        <v>470</v>
      </c>
      <c r="Q28" s="36">
        <v>0.75</v>
      </c>
      <c r="R28" s="35">
        <f t="shared" si="0"/>
        <v>218364.7287540134</v>
      </c>
      <c r="S28" s="35">
        <f t="shared" si="1"/>
        <v>100</v>
      </c>
      <c r="T28" s="37">
        <v>200</v>
      </c>
      <c r="U28" s="7">
        <v>300</v>
      </c>
      <c r="V28" s="42">
        <v>20</v>
      </c>
      <c r="W28" s="42">
        <v>7500</v>
      </c>
      <c r="X28" s="42">
        <v>200</v>
      </c>
      <c r="Y28" s="42">
        <v>100</v>
      </c>
    </row>
    <row r="29" spans="1:25" ht="15" x14ac:dyDescent="0.15">
      <c r="A29" s="27" t="s">
        <v>84</v>
      </c>
      <c r="B29" s="11" t="s">
        <v>131</v>
      </c>
      <c r="C29" s="12" t="s">
        <v>342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>L8*5</f>
        <v>20000000</v>
      </c>
      <c r="M29" s="7">
        <f t="shared" ref="M29:N29" si="22">M8*5</f>
        <v>720</v>
      </c>
      <c r="N29" s="7">
        <f t="shared" si="22"/>
        <v>40000000</v>
      </c>
      <c r="O29" s="35">
        <v>10000</v>
      </c>
      <c r="P29" s="35">
        <v>370</v>
      </c>
      <c r="Q29" s="36">
        <v>1</v>
      </c>
      <c r="R29" s="35">
        <f t="shared" si="0"/>
        <v>4000</v>
      </c>
      <c r="S29" s="35">
        <f t="shared" si="1"/>
        <v>100</v>
      </c>
      <c r="T29" s="7">
        <v>200</v>
      </c>
      <c r="U29" s="7">
        <f>U8*5</f>
        <v>250</v>
      </c>
      <c r="V29" s="42">
        <v>20</v>
      </c>
      <c r="W29" s="42">
        <v>2700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342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>L13*5</f>
        <v>189000000</v>
      </c>
      <c r="M30" s="7">
        <f t="shared" ref="M30" si="23">M13*5</f>
        <v>6804</v>
      </c>
      <c r="N30" s="7">
        <f>N13*5</f>
        <v>378000000</v>
      </c>
      <c r="O30" s="35">
        <v>10000</v>
      </c>
      <c r="P30" s="35">
        <v>395</v>
      </c>
      <c r="Q30" s="36">
        <v>0.9</v>
      </c>
      <c r="R30" s="35">
        <f t="shared" si="0"/>
        <v>37800</v>
      </c>
      <c r="S30" s="35">
        <f t="shared" si="1"/>
        <v>100</v>
      </c>
      <c r="T30" s="7">
        <v>200</v>
      </c>
      <c r="U30" s="7">
        <f>U13*5</f>
        <v>500</v>
      </c>
      <c r="V30" s="42">
        <v>20</v>
      </c>
      <c r="W30" s="42">
        <v>6912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342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551940480</v>
      </c>
      <c r="M31" s="7">
        <f t="shared" ref="M31:N31" si="24">M18*5</f>
        <v>19869.857279999997</v>
      </c>
      <c r="N31" s="7">
        <f t="shared" si="24"/>
        <v>1103880960</v>
      </c>
      <c r="O31" s="35">
        <v>10000</v>
      </c>
      <c r="P31" s="35">
        <v>410</v>
      </c>
      <c r="Q31" s="36">
        <v>0.8</v>
      </c>
      <c r="R31" s="35">
        <f t="shared" si="0"/>
        <v>110388.09600000001</v>
      </c>
      <c r="S31" s="35">
        <f t="shared" si="1"/>
        <v>100</v>
      </c>
      <c r="T31" s="7">
        <v>200</v>
      </c>
      <c r="U31" s="7">
        <f>U18*5</f>
        <v>750</v>
      </c>
      <c r="V31" s="42">
        <v>20</v>
      </c>
      <c r="W31" s="42">
        <v>13500</v>
      </c>
      <c r="X31" s="42">
        <v>5</v>
      </c>
      <c r="Y31" s="42">
        <v>50</v>
      </c>
    </row>
    <row r="32" spans="1:25" ht="15" x14ac:dyDescent="0.15">
      <c r="A32" s="31" t="s">
        <v>246</v>
      </c>
      <c r="B32" s="11" t="s">
        <v>134</v>
      </c>
      <c r="C32" s="12" t="s">
        <v>342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>L23*5</f>
        <v>1735830731.9807997</v>
      </c>
      <c r="M32" s="7">
        <f>M23*5</f>
        <v>62489.906351308789</v>
      </c>
      <c r="N32" s="7">
        <f t="shared" ref="N32" si="25">N23*5</f>
        <v>3471661463.9615993</v>
      </c>
      <c r="O32" s="35">
        <v>10000</v>
      </c>
      <c r="P32" s="35">
        <v>435</v>
      </c>
      <c r="Q32" s="36">
        <v>0.6</v>
      </c>
      <c r="R32" s="35">
        <f t="shared" si="0"/>
        <v>347166.14639615995</v>
      </c>
      <c r="S32" s="35">
        <f t="shared" si="1"/>
        <v>100</v>
      </c>
      <c r="T32" s="7">
        <v>200</v>
      </c>
      <c r="U32" s="7">
        <f>U23*5</f>
        <v>1000</v>
      </c>
      <c r="V32" s="42">
        <v>20</v>
      </c>
      <c r="W32" s="42">
        <v>25000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342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2603746097.9711995</v>
      </c>
      <c r="M33" s="7">
        <f>M32*1.5</f>
        <v>93734.859526963177</v>
      </c>
      <c r="N33" s="7">
        <f t="shared" ref="N33" si="26">N32*1.5</f>
        <v>5207492195.942399</v>
      </c>
      <c r="O33" s="35">
        <v>10000</v>
      </c>
      <c r="P33" s="7">
        <v>470</v>
      </c>
      <c r="Q33" s="36">
        <v>0.5</v>
      </c>
      <c r="R33" s="35">
        <f t="shared" si="0"/>
        <v>520749.21959423996</v>
      </c>
      <c r="S33" s="35">
        <f t="shared" si="1"/>
        <v>100</v>
      </c>
      <c r="T33" s="7">
        <v>200</v>
      </c>
      <c r="U33" s="7">
        <f>U28*5</f>
        <v>1500</v>
      </c>
      <c r="V33" s="42">
        <v>20</v>
      </c>
      <c r="W33" s="42">
        <v>50000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342</v>
      </c>
      <c r="D34" s="7"/>
      <c r="E34" s="7"/>
      <c r="F34" s="33">
        <v>500</v>
      </c>
      <c r="G34" s="33"/>
      <c r="H34" s="33"/>
      <c r="I34" s="33">
        <v>500</v>
      </c>
      <c r="J34" s="46" t="s">
        <v>414</v>
      </c>
      <c r="K34" s="34"/>
      <c r="L34" s="39">
        <f>L33*0.6</f>
        <v>1562247658.7827196</v>
      </c>
      <c r="M34" s="39">
        <f t="shared" ref="M34:N34" si="27">M33*0.6</f>
        <v>56240.915716177908</v>
      </c>
      <c r="N34" s="39">
        <f t="shared" si="27"/>
        <v>3124495317.5654392</v>
      </c>
      <c r="O34" s="35">
        <v>10000</v>
      </c>
      <c r="P34" s="39">
        <v>350</v>
      </c>
      <c r="Q34" s="40">
        <v>0.6</v>
      </c>
      <c r="R34" s="39">
        <f t="shared" si="0"/>
        <v>312449.53175654396</v>
      </c>
      <c r="S34" s="39">
        <f>O34*0.001</f>
        <v>10</v>
      </c>
      <c r="T34" s="41">
        <v>200</v>
      </c>
      <c r="U34" s="39">
        <v>200</v>
      </c>
      <c r="V34" s="42">
        <v>20</v>
      </c>
      <c r="W34" s="42">
        <v>20000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330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34"/>
      <c r="L35" s="39">
        <v>50</v>
      </c>
      <c r="M35" s="39">
        <v>1.8</v>
      </c>
      <c r="N35" s="39">
        <v>2500</v>
      </c>
      <c r="O35" s="39">
        <f t="shared" ref="O35:U35" si="28">O4</f>
        <v>100</v>
      </c>
      <c r="P35" s="39">
        <f t="shared" si="28"/>
        <v>350</v>
      </c>
      <c r="Q35" s="40">
        <f t="shared" si="28"/>
        <v>1</v>
      </c>
      <c r="R35" s="39">
        <f t="shared" si="28"/>
        <v>10</v>
      </c>
      <c r="S35" s="39">
        <f t="shared" si="28"/>
        <v>1</v>
      </c>
      <c r="T35" s="39">
        <f t="shared" si="28"/>
        <v>200</v>
      </c>
      <c r="U35" s="39">
        <f t="shared" si="28"/>
        <v>10</v>
      </c>
      <c r="V35" s="42">
        <v>20</v>
      </c>
      <c r="W35" s="42">
        <v>100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330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34"/>
      <c r="L36" s="39">
        <v>50000</v>
      </c>
      <c r="M36" s="39">
        <v>3.6</v>
      </c>
      <c r="N36" s="39">
        <v>200000</v>
      </c>
      <c r="O36" s="39">
        <f t="shared" ref="O36:U36" si="29">O6</f>
        <v>100</v>
      </c>
      <c r="P36" s="39">
        <f t="shared" si="29"/>
        <v>360</v>
      </c>
      <c r="Q36" s="40">
        <f t="shared" si="29"/>
        <v>1</v>
      </c>
      <c r="R36" s="39">
        <f t="shared" si="29"/>
        <v>200</v>
      </c>
      <c r="S36" s="39">
        <f t="shared" si="29"/>
        <v>1</v>
      </c>
      <c r="T36" s="39">
        <f t="shared" si="29"/>
        <v>200</v>
      </c>
      <c r="U36" s="39">
        <f t="shared" si="29"/>
        <v>30</v>
      </c>
      <c r="V36" s="42">
        <v>20</v>
      </c>
      <c r="W36" s="42">
        <v>100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330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34"/>
      <c r="L37" s="39">
        <f>L5</f>
        <v>200000</v>
      </c>
      <c r="M37" s="39">
        <f>M5</f>
        <v>18</v>
      </c>
      <c r="N37" s="39">
        <f>N5</f>
        <v>1000000</v>
      </c>
      <c r="O37" s="39">
        <f t="shared" ref="O37:U37" si="30">O8</f>
        <v>1000</v>
      </c>
      <c r="P37" s="39">
        <f t="shared" si="30"/>
        <v>370</v>
      </c>
      <c r="Q37" s="40">
        <f t="shared" si="30"/>
        <v>1</v>
      </c>
      <c r="R37" s="39">
        <f t="shared" si="30"/>
        <v>800</v>
      </c>
      <c r="S37" s="39">
        <f t="shared" si="30"/>
        <v>10</v>
      </c>
      <c r="T37" s="39">
        <f t="shared" si="30"/>
        <v>200</v>
      </c>
      <c r="U37" s="39">
        <f t="shared" si="30"/>
        <v>50</v>
      </c>
      <c r="V37" s="42">
        <v>20</v>
      </c>
      <c r="W37" s="42">
        <v>100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330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34"/>
      <c r="L38" s="39">
        <v>1000000</v>
      </c>
      <c r="M38" s="39">
        <v>45</v>
      </c>
      <c r="N38" s="39">
        <v>4000000</v>
      </c>
      <c r="O38" s="39">
        <f t="shared" ref="O38:U38" si="31">O10</f>
        <v>10000</v>
      </c>
      <c r="P38" s="39">
        <f t="shared" si="31"/>
        <v>380</v>
      </c>
      <c r="Q38" s="40">
        <f t="shared" si="31"/>
        <v>1</v>
      </c>
      <c r="R38" s="39">
        <f t="shared" si="31"/>
        <v>2400</v>
      </c>
      <c r="S38" s="39">
        <f t="shared" si="31"/>
        <v>100</v>
      </c>
      <c r="T38" s="39">
        <f t="shared" si="31"/>
        <v>200</v>
      </c>
      <c r="U38" s="39">
        <f t="shared" si="31"/>
        <v>70</v>
      </c>
      <c r="V38" s="42">
        <v>20</v>
      </c>
      <c r="W38" s="42">
        <v>100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330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34"/>
      <c r="L39" s="39">
        <v>5000000</v>
      </c>
      <c r="M39" s="39">
        <f>M38*2</f>
        <v>90</v>
      </c>
      <c r="N39" s="39">
        <f>N38*2</f>
        <v>8000000</v>
      </c>
      <c r="O39" s="39">
        <f t="shared" ref="O39:U39" si="32">O12</f>
        <v>10000</v>
      </c>
      <c r="P39" s="39">
        <f t="shared" si="32"/>
        <v>390</v>
      </c>
      <c r="Q39" s="40">
        <f t="shared" si="32"/>
        <v>1</v>
      </c>
      <c r="R39" s="39">
        <f t="shared" si="32"/>
        <v>5400</v>
      </c>
      <c r="S39" s="39">
        <f t="shared" si="32"/>
        <v>100</v>
      </c>
      <c r="T39" s="39">
        <f t="shared" si="32"/>
        <v>200</v>
      </c>
      <c r="U39" s="39">
        <f t="shared" si="32"/>
        <v>90</v>
      </c>
      <c r="V39" s="39">
        <v>20</v>
      </c>
      <c r="W39" s="39">
        <v>500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330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34"/>
      <c r="L40" s="39">
        <f t="shared" ref="L40:L42" si="33">L43*2</f>
        <v>20000000</v>
      </c>
      <c r="M40" s="39">
        <f t="shared" ref="M40:N42" si="34">M43*2</f>
        <v>360</v>
      </c>
      <c r="N40" s="39">
        <f t="shared" si="34"/>
        <v>32000000</v>
      </c>
      <c r="O40" s="39">
        <f t="shared" ref="O40:U40" si="35">O14</f>
        <v>10000</v>
      </c>
      <c r="P40" s="39">
        <f t="shared" si="35"/>
        <v>400</v>
      </c>
      <c r="Q40" s="40">
        <f t="shared" si="35"/>
        <v>0.9</v>
      </c>
      <c r="R40" s="39">
        <f t="shared" si="35"/>
        <v>9828</v>
      </c>
      <c r="S40" s="39">
        <f t="shared" si="35"/>
        <v>100</v>
      </c>
      <c r="T40" s="39">
        <f t="shared" si="35"/>
        <v>200</v>
      </c>
      <c r="U40" s="39">
        <f t="shared" si="35"/>
        <v>150</v>
      </c>
      <c r="V40" s="39">
        <v>20</v>
      </c>
      <c r="W40" s="39">
        <v>1000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330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34"/>
      <c r="L41" s="39">
        <f t="shared" si="33"/>
        <v>80000000</v>
      </c>
      <c r="M41" s="39">
        <f t="shared" si="34"/>
        <v>1440</v>
      </c>
      <c r="N41" s="39">
        <f t="shared" si="34"/>
        <v>128000000</v>
      </c>
      <c r="O41" s="39">
        <f t="shared" ref="O41:U41" si="36">O16</f>
        <v>10000</v>
      </c>
      <c r="P41" s="39">
        <f t="shared" si="36"/>
        <v>410</v>
      </c>
      <c r="Q41" s="40">
        <f t="shared" si="36"/>
        <v>0.9</v>
      </c>
      <c r="R41" s="39">
        <f t="shared" si="36"/>
        <v>15331.68</v>
      </c>
      <c r="S41" s="39">
        <f t="shared" si="36"/>
        <v>100</v>
      </c>
      <c r="T41" s="39">
        <f t="shared" si="36"/>
        <v>200</v>
      </c>
      <c r="U41" s="39">
        <f t="shared" si="36"/>
        <v>150</v>
      </c>
      <c r="V41" s="39">
        <v>20</v>
      </c>
      <c r="W41" s="39">
        <v>1500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330</v>
      </c>
      <c r="D42" s="7"/>
      <c r="E42" s="7"/>
      <c r="F42" s="42"/>
      <c r="G42" s="33">
        <v>50</v>
      </c>
      <c r="H42" s="33"/>
      <c r="I42" s="33">
        <v>500</v>
      </c>
      <c r="J42" s="49">
        <v>0.1</v>
      </c>
      <c r="K42" s="34"/>
      <c r="L42" s="39">
        <f t="shared" si="33"/>
        <v>320000000</v>
      </c>
      <c r="M42" s="39">
        <f t="shared" si="34"/>
        <v>5760</v>
      </c>
      <c r="N42" s="39">
        <f t="shared" si="34"/>
        <v>512000000</v>
      </c>
      <c r="O42" s="39">
        <f t="shared" ref="O42:U42" si="37">O18</f>
        <v>10000</v>
      </c>
      <c r="P42" s="39">
        <f t="shared" si="37"/>
        <v>420</v>
      </c>
      <c r="Q42" s="40">
        <f t="shared" si="37"/>
        <v>0.9</v>
      </c>
      <c r="R42" s="39">
        <f t="shared" si="37"/>
        <v>22077.619200000001</v>
      </c>
      <c r="S42" s="39">
        <f t="shared" si="37"/>
        <v>100</v>
      </c>
      <c r="T42" s="39">
        <f t="shared" si="37"/>
        <v>200</v>
      </c>
      <c r="U42" s="39">
        <f t="shared" si="37"/>
        <v>150</v>
      </c>
      <c r="V42" s="39">
        <v>20</v>
      </c>
      <c r="W42" s="39">
        <v>2500</v>
      </c>
      <c r="X42" s="42">
        <v>0</v>
      </c>
      <c r="Y42" s="42">
        <v>0</v>
      </c>
    </row>
    <row r="43" spans="1:25" ht="15" x14ac:dyDescent="0.15">
      <c r="A43" s="27" t="s">
        <v>377</v>
      </c>
      <c r="B43" s="11" t="s">
        <v>145</v>
      </c>
      <c r="C43" s="12" t="s">
        <v>330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34"/>
      <c r="L43" s="39">
        <f t="shared" ref="L43:N45" si="38">L39*2</f>
        <v>10000000</v>
      </c>
      <c r="M43" s="39">
        <f t="shared" si="38"/>
        <v>180</v>
      </c>
      <c r="N43" s="39">
        <f t="shared" si="38"/>
        <v>16000000</v>
      </c>
      <c r="O43" s="39">
        <f t="shared" ref="O43:T43" si="39">O8</f>
        <v>1000</v>
      </c>
      <c r="P43" s="39">
        <f t="shared" si="39"/>
        <v>370</v>
      </c>
      <c r="Q43" s="40">
        <f t="shared" si="39"/>
        <v>1</v>
      </c>
      <c r="R43" s="39">
        <f t="shared" si="39"/>
        <v>800</v>
      </c>
      <c r="S43" s="39">
        <f t="shared" si="39"/>
        <v>10</v>
      </c>
      <c r="T43" s="39">
        <f t="shared" si="39"/>
        <v>200</v>
      </c>
      <c r="U43" s="39">
        <v>100</v>
      </c>
      <c r="V43" s="39">
        <v>20</v>
      </c>
      <c r="W43" s="39">
        <v>750</v>
      </c>
      <c r="X43" s="39">
        <f>X13</f>
        <v>0</v>
      </c>
      <c r="Y43" s="39">
        <v>0</v>
      </c>
    </row>
    <row r="44" spans="1:25" ht="15" x14ac:dyDescent="0.15">
      <c r="A44" s="27" t="s">
        <v>378</v>
      </c>
      <c r="B44" s="11" t="s">
        <v>146</v>
      </c>
      <c r="C44" s="12" t="s">
        <v>330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34"/>
      <c r="L44" s="39">
        <f t="shared" si="38"/>
        <v>40000000</v>
      </c>
      <c r="M44" s="39">
        <f t="shared" si="38"/>
        <v>720</v>
      </c>
      <c r="N44" s="39">
        <f t="shared" si="38"/>
        <v>64000000</v>
      </c>
      <c r="O44" s="39">
        <f t="shared" ref="O44:U44" si="40">O14</f>
        <v>10000</v>
      </c>
      <c r="P44" s="39">
        <f t="shared" si="40"/>
        <v>400</v>
      </c>
      <c r="Q44" s="40">
        <f t="shared" si="40"/>
        <v>0.9</v>
      </c>
      <c r="R44" s="39">
        <f t="shared" si="40"/>
        <v>9828</v>
      </c>
      <c r="S44" s="39">
        <f t="shared" si="40"/>
        <v>100</v>
      </c>
      <c r="T44" s="39">
        <f t="shared" si="40"/>
        <v>200</v>
      </c>
      <c r="U44" s="39">
        <f t="shared" si="40"/>
        <v>150</v>
      </c>
      <c r="V44" s="39">
        <v>20</v>
      </c>
      <c r="W44" s="39">
        <v>1250</v>
      </c>
      <c r="X44" s="39">
        <v>0</v>
      </c>
      <c r="Y44" s="39">
        <v>0</v>
      </c>
    </row>
    <row r="45" spans="1:25" ht="14.25" customHeight="1" x14ac:dyDescent="0.15">
      <c r="A45" s="27" t="s">
        <v>379</v>
      </c>
      <c r="B45" s="11" t="s">
        <v>147</v>
      </c>
      <c r="C45" s="12" t="s">
        <v>330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34"/>
      <c r="L45" s="39">
        <f t="shared" si="38"/>
        <v>160000000</v>
      </c>
      <c r="M45" s="39">
        <f t="shared" si="38"/>
        <v>2880</v>
      </c>
      <c r="N45" s="39">
        <f t="shared" si="38"/>
        <v>256000000</v>
      </c>
      <c r="O45" s="39">
        <f t="shared" ref="O45:U45" si="41">O23</f>
        <v>10000</v>
      </c>
      <c r="P45" s="39">
        <f t="shared" si="41"/>
        <v>445</v>
      </c>
      <c r="Q45" s="40">
        <f t="shared" si="41"/>
        <v>0.9</v>
      </c>
      <c r="R45" s="39">
        <f t="shared" si="41"/>
        <v>69433.229279231993</v>
      </c>
      <c r="S45" s="39">
        <f t="shared" si="41"/>
        <v>100</v>
      </c>
      <c r="T45" s="39">
        <f t="shared" si="41"/>
        <v>200</v>
      </c>
      <c r="U45" s="39">
        <f t="shared" si="41"/>
        <v>200</v>
      </c>
      <c r="V45" s="39">
        <v>20</v>
      </c>
      <c r="W45" s="39">
        <v>2000</v>
      </c>
      <c r="X45" s="39"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342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34"/>
      <c r="L46" s="39">
        <v>1250000</v>
      </c>
      <c r="M46" s="39">
        <v>40.5</v>
      </c>
      <c r="N46" s="39">
        <v>7500000</v>
      </c>
      <c r="O46" s="39">
        <f t="shared" ref="O46:O70" si="42">O4*3</f>
        <v>300</v>
      </c>
      <c r="P46" s="35">
        <f t="shared" ref="P46:P70" si="43">P4</f>
        <v>350</v>
      </c>
      <c r="Q46" s="36">
        <v>0.75</v>
      </c>
      <c r="R46" s="35">
        <f t="shared" ref="R46:U70" si="44">R4</f>
        <v>10</v>
      </c>
      <c r="S46" s="35">
        <f t="shared" si="44"/>
        <v>1</v>
      </c>
      <c r="T46" s="35">
        <f t="shared" si="44"/>
        <v>200</v>
      </c>
      <c r="U46" s="35">
        <f t="shared" si="44"/>
        <v>10</v>
      </c>
      <c r="V46" s="42">
        <v>20</v>
      </c>
      <c r="W46" s="42">
        <v>450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342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34"/>
      <c r="L47" s="39">
        <f>L46*1.25</f>
        <v>1562500</v>
      </c>
      <c r="M47" s="39">
        <f t="shared" ref="M47:N47" si="45">M46*1.25</f>
        <v>50.625</v>
      </c>
      <c r="N47" s="39">
        <f t="shared" si="45"/>
        <v>9375000</v>
      </c>
      <c r="O47" s="39">
        <f t="shared" si="42"/>
        <v>300</v>
      </c>
      <c r="P47" s="35">
        <f t="shared" si="43"/>
        <v>355</v>
      </c>
      <c r="Q47" s="36">
        <v>0.75</v>
      </c>
      <c r="R47" s="35">
        <f t="shared" si="44"/>
        <v>100</v>
      </c>
      <c r="S47" s="35">
        <f t="shared" si="44"/>
        <v>1</v>
      </c>
      <c r="T47" s="35">
        <f t="shared" si="44"/>
        <v>200</v>
      </c>
      <c r="U47" s="35">
        <f t="shared" si="44"/>
        <v>20</v>
      </c>
      <c r="V47" s="42">
        <v>20</v>
      </c>
      <c r="W47" s="42">
        <v>450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342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34"/>
      <c r="L48" s="39">
        <v>9000000</v>
      </c>
      <c r="M48" s="39">
        <v>98.876953125</v>
      </c>
      <c r="N48" s="39">
        <v>18310546.875</v>
      </c>
      <c r="O48" s="39">
        <f t="shared" si="42"/>
        <v>300</v>
      </c>
      <c r="P48" s="35">
        <f t="shared" si="43"/>
        <v>360</v>
      </c>
      <c r="Q48" s="36">
        <v>0.75</v>
      </c>
      <c r="R48" s="35">
        <f t="shared" si="44"/>
        <v>200</v>
      </c>
      <c r="S48" s="35">
        <f t="shared" si="44"/>
        <v>1</v>
      </c>
      <c r="T48" s="35">
        <f t="shared" si="44"/>
        <v>200</v>
      </c>
      <c r="U48" s="35">
        <f t="shared" si="44"/>
        <v>30</v>
      </c>
      <c r="V48" s="42">
        <v>20</v>
      </c>
      <c r="W48" s="42">
        <v>900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342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34"/>
      <c r="L49" s="39">
        <f>L48*1.25</f>
        <v>11250000</v>
      </c>
      <c r="M49" s="39">
        <f t="shared" ref="M49:N49" si="46">M48*1.25</f>
        <v>123.59619140625</v>
      </c>
      <c r="N49" s="39">
        <f t="shared" si="46"/>
        <v>22888183.59375</v>
      </c>
      <c r="O49" s="39">
        <f t="shared" si="42"/>
        <v>3000</v>
      </c>
      <c r="P49" s="35">
        <f t="shared" si="43"/>
        <v>365</v>
      </c>
      <c r="Q49" s="36">
        <v>0.75</v>
      </c>
      <c r="R49" s="35">
        <f t="shared" si="44"/>
        <v>400</v>
      </c>
      <c r="S49" s="35">
        <f t="shared" si="44"/>
        <v>10</v>
      </c>
      <c r="T49" s="35">
        <f t="shared" si="44"/>
        <v>200</v>
      </c>
      <c r="U49" s="35">
        <f t="shared" si="44"/>
        <v>40</v>
      </c>
      <c r="V49" s="42">
        <v>20</v>
      </c>
      <c r="W49" s="42">
        <v>900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342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34"/>
      <c r="L50" s="39">
        <v>25000000</v>
      </c>
      <c r="M50" s="39">
        <v>202.5</v>
      </c>
      <c r="N50" s="39">
        <v>50000000</v>
      </c>
      <c r="O50" s="39">
        <f t="shared" si="42"/>
        <v>3000</v>
      </c>
      <c r="P50" s="35">
        <f t="shared" si="43"/>
        <v>370</v>
      </c>
      <c r="Q50" s="36">
        <v>0.75</v>
      </c>
      <c r="R50" s="35">
        <f t="shared" si="44"/>
        <v>800</v>
      </c>
      <c r="S50" s="35">
        <f t="shared" si="44"/>
        <v>10</v>
      </c>
      <c r="T50" s="35">
        <f t="shared" si="44"/>
        <v>200</v>
      </c>
      <c r="U50" s="35">
        <f t="shared" si="44"/>
        <v>50</v>
      </c>
      <c r="V50" s="42">
        <v>20</v>
      </c>
      <c r="W50" s="42">
        <v>1350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342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34"/>
      <c r="L51" s="39">
        <f>L50*1.25</f>
        <v>31250000</v>
      </c>
      <c r="M51" s="39">
        <f t="shared" ref="M51:N51" si="47">M50*1.25</f>
        <v>253.125</v>
      </c>
      <c r="N51" s="39">
        <f t="shared" si="47"/>
        <v>62500000</v>
      </c>
      <c r="O51" s="39">
        <f t="shared" si="42"/>
        <v>30000</v>
      </c>
      <c r="P51" s="35">
        <f t="shared" si="43"/>
        <v>375</v>
      </c>
      <c r="Q51" s="36">
        <v>0.75</v>
      </c>
      <c r="R51" s="35">
        <f t="shared" si="44"/>
        <v>1600</v>
      </c>
      <c r="S51" s="35">
        <f t="shared" si="44"/>
        <v>100</v>
      </c>
      <c r="T51" s="35">
        <f t="shared" si="44"/>
        <v>200</v>
      </c>
      <c r="U51" s="35">
        <f t="shared" si="44"/>
        <v>60</v>
      </c>
      <c r="V51" s="42">
        <v>20</v>
      </c>
      <c r="W51" s="42">
        <v>1350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342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34"/>
      <c r="L52" s="39">
        <f>L51*2</f>
        <v>62500000</v>
      </c>
      <c r="M52" s="39">
        <v>506.25</v>
      </c>
      <c r="N52" s="39">
        <f>N51*2</f>
        <v>125000000</v>
      </c>
      <c r="O52" s="39">
        <f t="shared" si="42"/>
        <v>30000</v>
      </c>
      <c r="P52" s="35">
        <f t="shared" si="43"/>
        <v>380</v>
      </c>
      <c r="Q52" s="36">
        <v>0.75</v>
      </c>
      <c r="R52" s="35">
        <f t="shared" si="44"/>
        <v>2400</v>
      </c>
      <c r="S52" s="35">
        <f t="shared" si="44"/>
        <v>100</v>
      </c>
      <c r="T52" s="35">
        <f t="shared" si="44"/>
        <v>200</v>
      </c>
      <c r="U52" s="35">
        <f t="shared" si="44"/>
        <v>70</v>
      </c>
      <c r="V52" s="42">
        <v>20</v>
      </c>
      <c r="W52" s="42">
        <v>1800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342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34"/>
      <c r="L53" s="39">
        <f>L52*1.25</f>
        <v>78125000</v>
      </c>
      <c r="M53" s="39">
        <v>632.8125</v>
      </c>
      <c r="N53" s="39">
        <f>N52*1.25</f>
        <v>156250000</v>
      </c>
      <c r="O53" s="39">
        <f t="shared" si="42"/>
        <v>30000</v>
      </c>
      <c r="P53" s="35">
        <f t="shared" si="43"/>
        <v>385</v>
      </c>
      <c r="Q53" s="36">
        <v>0.75</v>
      </c>
      <c r="R53" s="35">
        <f t="shared" si="44"/>
        <v>3600</v>
      </c>
      <c r="S53" s="35">
        <f t="shared" si="44"/>
        <v>100</v>
      </c>
      <c r="T53" s="35">
        <f t="shared" si="44"/>
        <v>200</v>
      </c>
      <c r="U53" s="35">
        <f t="shared" si="44"/>
        <v>80</v>
      </c>
      <c r="V53" s="42">
        <v>20</v>
      </c>
      <c r="W53" s="42">
        <v>1800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342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34"/>
      <c r="L54" s="39">
        <f>L53*1.7</f>
        <v>132812500</v>
      </c>
      <c r="M54" s="39">
        <v>1075.78125</v>
      </c>
      <c r="N54" s="39">
        <f>N53*1.7</f>
        <v>265625000</v>
      </c>
      <c r="O54" s="39">
        <f t="shared" si="42"/>
        <v>30000</v>
      </c>
      <c r="P54" s="35">
        <f t="shared" si="43"/>
        <v>390</v>
      </c>
      <c r="Q54" s="36">
        <v>0.75</v>
      </c>
      <c r="R54" s="35">
        <f t="shared" si="44"/>
        <v>5400</v>
      </c>
      <c r="S54" s="35">
        <f t="shared" si="44"/>
        <v>100</v>
      </c>
      <c r="T54" s="35">
        <f t="shared" si="44"/>
        <v>200</v>
      </c>
      <c r="U54" s="35">
        <f t="shared" si="44"/>
        <v>90</v>
      </c>
      <c r="V54" s="42">
        <v>20</v>
      </c>
      <c r="W54" s="42">
        <v>2250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342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34"/>
      <c r="L55" s="39">
        <f>L54*1.25</f>
        <v>166015625</v>
      </c>
      <c r="M55" s="39">
        <v>1344.7265625</v>
      </c>
      <c r="N55" s="39">
        <f>N54*1.25</f>
        <v>332031250</v>
      </c>
      <c r="O55" s="39">
        <f t="shared" si="42"/>
        <v>30000</v>
      </c>
      <c r="P55" s="35">
        <f t="shared" si="43"/>
        <v>395</v>
      </c>
      <c r="Q55" s="36">
        <v>0.75</v>
      </c>
      <c r="R55" s="35">
        <f t="shared" si="44"/>
        <v>7560</v>
      </c>
      <c r="S55" s="35">
        <f t="shared" si="44"/>
        <v>100</v>
      </c>
      <c r="T55" s="35">
        <f t="shared" si="44"/>
        <v>200</v>
      </c>
      <c r="U55" s="35">
        <f t="shared" si="44"/>
        <v>100</v>
      </c>
      <c r="V55" s="42">
        <v>20</v>
      </c>
      <c r="W55" s="42">
        <v>2250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342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34"/>
      <c r="L56" s="39">
        <f>L55*1.5</f>
        <v>249023437.5</v>
      </c>
      <c r="M56" s="39">
        <f t="shared" ref="M56:N56" si="48">M55*1.5</f>
        <v>2017.08984375</v>
      </c>
      <c r="N56" s="39">
        <f t="shared" si="48"/>
        <v>498046875</v>
      </c>
      <c r="O56" s="39">
        <f t="shared" si="42"/>
        <v>30000</v>
      </c>
      <c r="P56" s="35">
        <f t="shared" si="43"/>
        <v>400</v>
      </c>
      <c r="Q56" s="36">
        <v>0.75</v>
      </c>
      <c r="R56" s="35">
        <f t="shared" si="44"/>
        <v>9828</v>
      </c>
      <c r="S56" s="35">
        <f t="shared" si="44"/>
        <v>100</v>
      </c>
      <c r="T56" s="35">
        <f t="shared" si="44"/>
        <v>200</v>
      </c>
      <c r="U56" s="35">
        <f t="shared" si="44"/>
        <v>150</v>
      </c>
      <c r="V56" s="42">
        <v>20</v>
      </c>
      <c r="W56" s="42">
        <v>2700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342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34"/>
      <c r="L57" s="39">
        <f>L56*1.1</f>
        <v>273925781.25</v>
      </c>
      <c r="M57" s="39">
        <f t="shared" ref="M57:N57" si="49">M56*1.1</f>
        <v>2218.798828125</v>
      </c>
      <c r="N57" s="39">
        <f t="shared" si="49"/>
        <v>547851562.5</v>
      </c>
      <c r="O57" s="39">
        <f t="shared" si="42"/>
        <v>30000</v>
      </c>
      <c r="P57" s="35">
        <f t="shared" si="43"/>
        <v>405</v>
      </c>
      <c r="Q57" s="36">
        <v>0.75</v>
      </c>
      <c r="R57" s="35">
        <f t="shared" si="44"/>
        <v>12776.400000000001</v>
      </c>
      <c r="S57" s="35">
        <f t="shared" si="44"/>
        <v>100</v>
      </c>
      <c r="T57" s="35">
        <f t="shared" si="44"/>
        <v>200</v>
      </c>
      <c r="U57" s="35">
        <f t="shared" si="44"/>
        <v>150</v>
      </c>
      <c r="V57" s="42">
        <v>20</v>
      </c>
      <c r="W57" s="42">
        <v>2700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342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34"/>
      <c r="L58" s="39">
        <f>L57*1.5</f>
        <v>410888671.875</v>
      </c>
      <c r="M58" s="39">
        <f t="shared" ref="M58:N58" si="50">M57*1.5</f>
        <v>3328.1982421875</v>
      </c>
      <c r="N58" s="39">
        <f t="shared" si="50"/>
        <v>821777343.75</v>
      </c>
      <c r="O58" s="39">
        <f t="shared" si="42"/>
        <v>30000</v>
      </c>
      <c r="P58" s="35">
        <f t="shared" si="43"/>
        <v>410</v>
      </c>
      <c r="Q58" s="36">
        <v>0.75</v>
      </c>
      <c r="R58" s="35">
        <f t="shared" si="44"/>
        <v>15331.68</v>
      </c>
      <c r="S58" s="35">
        <f t="shared" si="44"/>
        <v>100</v>
      </c>
      <c r="T58" s="35">
        <f t="shared" si="44"/>
        <v>200</v>
      </c>
      <c r="U58" s="35">
        <f t="shared" si="44"/>
        <v>150</v>
      </c>
      <c r="V58" s="42">
        <v>20</v>
      </c>
      <c r="W58" s="42">
        <v>3150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342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34"/>
      <c r="L59" s="39">
        <f>L58*1.1</f>
        <v>451977539.06250006</v>
      </c>
      <c r="M59" s="39">
        <f t="shared" ref="M59:N59" si="51">M58*1.1</f>
        <v>3661.0180664062505</v>
      </c>
      <c r="N59" s="39">
        <f t="shared" si="51"/>
        <v>903955078.12500012</v>
      </c>
      <c r="O59" s="39">
        <f t="shared" si="42"/>
        <v>30000</v>
      </c>
      <c r="P59" s="35">
        <f t="shared" si="43"/>
        <v>415</v>
      </c>
      <c r="Q59" s="36">
        <v>0.75</v>
      </c>
      <c r="R59" s="35">
        <f t="shared" si="44"/>
        <v>18398.016</v>
      </c>
      <c r="S59" s="35">
        <f t="shared" si="44"/>
        <v>100</v>
      </c>
      <c r="T59" s="35">
        <f t="shared" si="44"/>
        <v>200</v>
      </c>
      <c r="U59" s="35">
        <f t="shared" si="44"/>
        <v>150</v>
      </c>
      <c r="V59" s="42">
        <v>20</v>
      </c>
      <c r="W59" s="42">
        <v>3150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342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34"/>
      <c r="L60" s="39">
        <f>L59*1.5</f>
        <v>677966308.59375012</v>
      </c>
      <c r="M60" s="39">
        <f t="shared" ref="M60:N60" si="52">M59*1.5</f>
        <v>5491.5270996093759</v>
      </c>
      <c r="N60" s="39">
        <f t="shared" si="52"/>
        <v>1355932617.1875002</v>
      </c>
      <c r="O60" s="39">
        <f t="shared" si="42"/>
        <v>30000</v>
      </c>
      <c r="P60" s="35">
        <f t="shared" si="43"/>
        <v>420</v>
      </c>
      <c r="Q60" s="36">
        <v>0.75</v>
      </c>
      <c r="R60" s="35">
        <f t="shared" si="44"/>
        <v>22077.619200000001</v>
      </c>
      <c r="S60" s="35">
        <f t="shared" si="44"/>
        <v>100</v>
      </c>
      <c r="T60" s="35">
        <f t="shared" si="44"/>
        <v>200</v>
      </c>
      <c r="U60" s="35">
        <f t="shared" si="44"/>
        <v>150</v>
      </c>
      <c r="V60" s="42">
        <v>20</v>
      </c>
      <c r="W60" s="42">
        <v>3600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342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34"/>
      <c r="L61" s="39">
        <f>L60*1.1</f>
        <v>745762939.45312524</v>
      </c>
      <c r="M61" s="39">
        <f t="shared" ref="M61:N61" si="53">M60*1.1</f>
        <v>6040.6798095703143</v>
      </c>
      <c r="N61" s="39">
        <f t="shared" si="53"/>
        <v>1491525878.9062505</v>
      </c>
      <c r="O61" s="39">
        <f t="shared" si="42"/>
        <v>30000</v>
      </c>
      <c r="P61" s="35">
        <f t="shared" si="43"/>
        <v>425</v>
      </c>
      <c r="Q61" s="36">
        <v>0.75</v>
      </c>
      <c r="R61" s="35">
        <f t="shared" si="44"/>
        <v>30908.666879999997</v>
      </c>
      <c r="S61" s="35">
        <f t="shared" si="44"/>
        <v>100</v>
      </c>
      <c r="T61" s="35">
        <f t="shared" si="44"/>
        <v>200</v>
      </c>
      <c r="U61" s="35">
        <f t="shared" si="44"/>
        <v>200</v>
      </c>
      <c r="V61" s="42">
        <v>20</v>
      </c>
      <c r="W61" s="42">
        <v>3600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342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34"/>
      <c r="L62" s="39">
        <f>L61*1.5</f>
        <v>1118644409.179688</v>
      </c>
      <c r="M62" s="39">
        <f t="shared" ref="M62:N62" si="54">M61*1.5</f>
        <v>9061.0197143554724</v>
      </c>
      <c r="N62" s="39">
        <f t="shared" si="54"/>
        <v>2237288818.359376</v>
      </c>
      <c r="O62" s="39">
        <f t="shared" si="42"/>
        <v>30000</v>
      </c>
      <c r="P62" s="35">
        <f t="shared" si="43"/>
        <v>430</v>
      </c>
      <c r="Q62" s="36">
        <v>0.75</v>
      </c>
      <c r="R62" s="35">
        <f t="shared" si="44"/>
        <v>40181.266943999995</v>
      </c>
      <c r="S62" s="35">
        <f t="shared" si="44"/>
        <v>100</v>
      </c>
      <c r="T62" s="35">
        <f t="shared" si="44"/>
        <v>200</v>
      </c>
      <c r="U62" s="35">
        <f t="shared" si="44"/>
        <v>200</v>
      </c>
      <c r="V62" s="42">
        <v>20</v>
      </c>
      <c r="W62" s="42">
        <v>4050</v>
      </c>
      <c r="X62" s="42">
        <v>10</v>
      </c>
      <c r="Y62" s="42">
        <v>250</v>
      </c>
    </row>
    <row r="63" spans="1:25" ht="15" x14ac:dyDescent="0.15">
      <c r="A63" s="27" t="s">
        <v>274</v>
      </c>
      <c r="B63" s="11" t="s">
        <v>165</v>
      </c>
      <c r="C63" s="12" t="s">
        <v>342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34"/>
      <c r="L63" s="39">
        <f>L62*1.1</f>
        <v>1230508850.097657</v>
      </c>
      <c r="M63" s="39">
        <f t="shared" ref="M63:N63" si="55">M62*1.1</f>
        <v>9967.1216857910204</v>
      </c>
      <c r="N63" s="39">
        <f t="shared" si="55"/>
        <v>2461017700.1953139</v>
      </c>
      <c r="O63" s="39">
        <f t="shared" si="42"/>
        <v>30000</v>
      </c>
      <c r="P63" s="35">
        <f t="shared" si="43"/>
        <v>435</v>
      </c>
      <c r="Q63" s="36">
        <v>0.75</v>
      </c>
      <c r="R63" s="35">
        <f t="shared" si="44"/>
        <v>48217.520332799992</v>
      </c>
      <c r="S63" s="35">
        <f t="shared" si="44"/>
        <v>100</v>
      </c>
      <c r="T63" s="35">
        <f t="shared" si="44"/>
        <v>200</v>
      </c>
      <c r="U63" s="35">
        <f t="shared" si="44"/>
        <v>200</v>
      </c>
      <c r="V63" s="42">
        <v>20</v>
      </c>
      <c r="W63" s="42">
        <v>4050</v>
      </c>
      <c r="X63" s="42">
        <v>10</v>
      </c>
      <c r="Y63" s="42">
        <v>250</v>
      </c>
    </row>
    <row r="64" spans="1:25" ht="15" x14ac:dyDescent="0.15">
      <c r="A64" s="27" t="s">
        <v>275</v>
      </c>
      <c r="B64" s="11" t="s">
        <v>166</v>
      </c>
      <c r="C64" s="12" t="s">
        <v>342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34"/>
      <c r="L64" s="39">
        <f>L63*1.5</f>
        <v>1845763275.1464853</v>
      </c>
      <c r="M64" s="39">
        <f t="shared" ref="M64:N64" si="56">M63*1.5</f>
        <v>14950.682528686531</v>
      </c>
      <c r="N64" s="39">
        <f t="shared" si="56"/>
        <v>3691526550.2929707</v>
      </c>
      <c r="O64" s="39">
        <f t="shared" si="42"/>
        <v>30000</v>
      </c>
      <c r="P64" s="35">
        <f t="shared" si="43"/>
        <v>440</v>
      </c>
      <c r="Q64" s="36">
        <v>0.75</v>
      </c>
      <c r="R64" s="35">
        <f t="shared" si="44"/>
        <v>57861.024399359994</v>
      </c>
      <c r="S64" s="35">
        <f t="shared" si="44"/>
        <v>100</v>
      </c>
      <c r="T64" s="35">
        <f t="shared" si="44"/>
        <v>200</v>
      </c>
      <c r="U64" s="35">
        <f t="shared" si="44"/>
        <v>200</v>
      </c>
      <c r="V64" s="42">
        <v>20</v>
      </c>
      <c r="W64" s="42">
        <v>4500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342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34"/>
      <c r="L65" s="39">
        <f>L64*1.1</f>
        <v>2030339602.661134</v>
      </c>
      <c r="M65" s="39">
        <f>M64*1.1</f>
        <v>16445.750781555187</v>
      </c>
      <c r="N65" s="39">
        <f t="shared" ref="N65" si="57">N64*1.1</f>
        <v>4060679205.322268</v>
      </c>
      <c r="O65" s="39">
        <f t="shared" si="42"/>
        <v>30000</v>
      </c>
      <c r="P65" s="35">
        <f t="shared" si="43"/>
        <v>445</v>
      </c>
      <c r="Q65" s="36">
        <v>0.75</v>
      </c>
      <c r="R65" s="35">
        <f t="shared" si="44"/>
        <v>69433.229279231993</v>
      </c>
      <c r="S65" s="35">
        <f t="shared" si="44"/>
        <v>100</v>
      </c>
      <c r="T65" s="35">
        <f t="shared" si="44"/>
        <v>200</v>
      </c>
      <c r="U65" s="35">
        <f t="shared" si="44"/>
        <v>200</v>
      </c>
      <c r="V65" s="42">
        <v>20</v>
      </c>
      <c r="W65" s="42">
        <v>4500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342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34"/>
      <c r="L66" s="39">
        <f>L24*3</f>
        <v>1458097814.8638716</v>
      </c>
      <c r="M66" s="39">
        <v>29417.697965994637</v>
      </c>
      <c r="N66" s="39">
        <f>N24*3</f>
        <v>2916195629.7277431</v>
      </c>
      <c r="O66" s="39">
        <f t="shared" si="42"/>
        <v>30000</v>
      </c>
      <c r="P66" s="35">
        <f t="shared" si="43"/>
        <v>450</v>
      </c>
      <c r="Q66" s="36">
        <v>0.75</v>
      </c>
      <c r="R66" s="35">
        <f t="shared" si="44"/>
        <v>97206.520990924779</v>
      </c>
      <c r="S66" s="35">
        <f t="shared" si="44"/>
        <v>100</v>
      </c>
      <c r="T66" s="35">
        <f t="shared" si="44"/>
        <v>200</v>
      </c>
      <c r="U66" s="35">
        <f t="shared" si="44"/>
        <v>300</v>
      </c>
      <c r="V66" s="42">
        <v>20</v>
      </c>
      <c r="W66" s="42">
        <v>900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342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34"/>
      <c r="L67" s="39">
        <f>L25*3</f>
        <v>1895527159.3230333</v>
      </c>
      <c r="M67" s="39">
        <v>21572.978508396071</v>
      </c>
      <c r="N67" s="39">
        <f>N25*3</f>
        <v>3791054318.6460667</v>
      </c>
      <c r="O67" s="39">
        <f t="shared" si="42"/>
        <v>30000</v>
      </c>
      <c r="P67" s="35">
        <f t="shared" si="43"/>
        <v>455</v>
      </c>
      <c r="Q67" s="36">
        <v>0.75</v>
      </c>
      <c r="R67" s="35">
        <f t="shared" si="44"/>
        <v>126368.47728820222</v>
      </c>
      <c r="S67" s="35">
        <f t="shared" si="44"/>
        <v>100</v>
      </c>
      <c r="T67" s="35">
        <f t="shared" si="44"/>
        <v>200</v>
      </c>
      <c r="U67" s="35">
        <f t="shared" si="44"/>
        <v>300</v>
      </c>
      <c r="V67" s="42">
        <v>20</v>
      </c>
      <c r="W67" s="42">
        <v>900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342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34"/>
      <c r="L68" s="39">
        <f>L26*3</f>
        <v>2274632591.1876397</v>
      </c>
      <c r="M68" s="39">
        <v>23730.276359235682</v>
      </c>
      <c r="N68" s="39">
        <f>N26*3</f>
        <v>4549265182.3752794</v>
      </c>
      <c r="O68" s="39">
        <f t="shared" si="42"/>
        <v>30000</v>
      </c>
      <c r="P68" s="35">
        <f t="shared" si="43"/>
        <v>460</v>
      </c>
      <c r="Q68" s="36">
        <v>0.75</v>
      </c>
      <c r="R68" s="35">
        <f t="shared" si="44"/>
        <v>151642.17274584266</v>
      </c>
      <c r="S68" s="35">
        <f t="shared" si="44"/>
        <v>100</v>
      </c>
      <c r="T68" s="35">
        <f t="shared" si="44"/>
        <v>200</v>
      </c>
      <c r="U68" s="35">
        <f t="shared" si="44"/>
        <v>300</v>
      </c>
      <c r="V68" s="42">
        <v>20</v>
      </c>
      <c r="W68" s="42">
        <v>900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342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34"/>
      <c r="L69" s="39">
        <f>L27*3</f>
        <v>2729559109.4251676</v>
      </c>
      <c r="M69" s="39">
        <v>26103.303995159251</v>
      </c>
      <c r="N69" s="39">
        <f>N27*3</f>
        <v>5459118218.8503351</v>
      </c>
      <c r="O69" s="39">
        <f t="shared" si="42"/>
        <v>30000</v>
      </c>
      <c r="P69" s="35">
        <f t="shared" si="43"/>
        <v>465</v>
      </c>
      <c r="Q69" s="36">
        <v>0.75</v>
      </c>
      <c r="R69" s="35">
        <f t="shared" si="44"/>
        <v>181970.60729501117</v>
      </c>
      <c r="S69" s="35">
        <f t="shared" si="44"/>
        <v>100</v>
      </c>
      <c r="T69" s="35">
        <f t="shared" si="44"/>
        <v>200</v>
      </c>
      <c r="U69" s="35">
        <f t="shared" si="44"/>
        <v>300</v>
      </c>
      <c r="V69" s="42">
        <v>20</v>
      </c>
      <c r="W69" s="42">
        <v>900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342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34"/>
      <c r="L70" s="39">
        <f>L28*3</f>
        <v>3275470931.3102007</v>
      </c>
      <c r="M70" s="39">
        <v>28713.634394675177</v>
      </c>
      <c r="N70" s="39">
        <f>N28*3</f>
        <v>6550941862.6204014</v>
      </c>
      <c r="O70" s="39">
        <f t="shared" si="42"/>
        <v>30000</v>
      </c>
      <c r="P70" s="35">
        <f t="shared" si="43"/>
        <v>470</v>
      </c>
      <c r="Q70" s="36">
        <v>0.75</v>
      </c>
      <c r="R70" s="35">
        <f t="shared" si="44"/>
        <v>218364.7287540134</v>
      </c>
      <c r="S70" s="35">
        <f t="shared" si="44"/>
        <v>100</v>
      </c>
      <c r="T70" s="35">
        <f t="shared" si="44"/>
        <v>200</v>
      </c>
      <c r="U70" s="35">
        <f t="shared" si="44"/>
        <v>300</v>
      </c>
      <c r="V70" s="42">
        <v>20</v>
      </c>
      <c r="W70" s="42">
        <v>900</v>
      </c>
      <c r="X70" s="42">
        <v>20</v>
      </c>
      <c r="Y70" s="42">
        <v>500</v>
      </c>
    </row>
    <row r="71" spans="1:25" ht="15" x14ac:dyDescent="0.15">
      <c r="A71" s="27" t="s">
        <v>343</v>
      </c>
      <c r="B71" s="11" t="s">
        <v>173</v>
      </c>
      <c r="C71" s="12" t="s">
        <v>342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34"/>
      <c r="L71" s="39">
        <f>17578125*0.9</f>
        <v>15820312.5</v>
      </c>
      <c r="M71" s="39">
        <v>386.23809814453125</v>
      </c>
      <c r="N71" s="39">
        <f>35762786.8652344*2</f>
        <v>71525573.730468795</v>
      </c>
      <c r="O71" s="39">
        <f>O48</f>
        <v>300</v>
      </c>
      <c r="P71" s="39">
        <f>P48</f>
        <v>360</v>
      </c>
      <c r="Q71" s="36">
        <v>0.75</v>
      </c>
      <c r="R71" s="39">
        <f>R48</f>
        <v>200</v>
      </c>
      <c r="S71" s="39">
        <f>S48</f>
        <v>1</v>
      </c>
      <c r="T71" s="39">
        <f>T48</f>
        <v>200</v>
      </c>
      <c r="U71" s="39">
        <f>U48</f>
        <v>30</v>
      </c>
      <c r="V71" s="42">
        <v>20</v>
      </c>
      <c r="W71" s="42">
        <v>900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342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34"/>
      <c r="L72" s="39">
        <f t="shared" ref="L72" si="58">L54*0.9</f>
        <v>119531250</v>
      </c>
      <c r="M72" s="39">
        <f>M54*0.9</f>
        <v>968.203125</v>
      </c>
      <c r="N72" s="39">
        <f>N54*0.9*2</f>
        <v>478125000</v>
      </c>
      <c r="O72" s="39">
        <f>O51</f>
        <v>30000</v>
      </c>
      <c r="P72" s="39">
        <f>P51</f>
        <v>375</v>
      </c>
      <c r="Q72" s="36">
        <v>0.75</v>
      </c>
      <c r="R72" s="39">
        <f>R51</f>
        <v>1600</v>
      </c>
      <c r="S72" s="39">
        <f>S51</f>
        <v>100</v>
      </c>
      <c r="T72" s="39">
        <f>T51</f>
        <v>200</v>
      </c>
      <c r="U72" s="39">
        <v>100</v>
      </c>
      <c r="V72" s="42">
        <v>20</v>
      </c>
      <c r="W72" s="42">
        <v>2304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342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34"/>
      <c r="L73" s="39">
        <f t="shared" ref="L73" si="59">L61*0.9</f>
        <v>671186645.50781274</v>
      </c>
      <c r="M73" s="39">
        <f>M61*0.9</f>
        <v>5436.6118286132833</v>
      </c>
      <c r="N73" s="39">
        <f>N61*0.9*2</f>
        <v>2684746582.031251</v>
      </c>
      <c r="O73" s="39">
        <f>O55</f>
        <v>30000</v>
      </c>
      <c r="P73" s="39">
        <f>P55</f>
        <v>395</v>
      </c>
      <c r="Q73" s="36">
        <v>0.75</v>
      </c>
      <c r="R73" s="39">
        <f>R55</f>
        <v>7560</v>
      </c>
      <c r="S73" s="39">
        <f>S55</f>
        <v>100</v>
      </c>
      <c r="T73" s="39">
        <f>T55</f>
        <v>200</v>
      </c>
      <c r="U73" s="39">
        <f>U55</f>
        <v>100</v>
      </c>
      <c r="V73" s="42">
        <v>20</v>
      </c>
      <c r="W73" s="42">
        <v>3600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342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34"/>
      <c r="L74" s="39">
        <f t="shared" ref="L74" si="60">L65*0.9</f>
        <v>1827305642.3950207</v>
      </c>
      <c r="M74" s="39">
        <f>M65*0.9</f>
        <v>14801.175703399669</v>
      </c>
      <c r="N74" s="39">
        <f>N65*0.9*2</f>
        <v>7309222569.5800829</v>
      </c>
      <c r="O74" s="39">
        <f>O60*1</f>
        <v>30000</v>
      </c>
      <c r="P74" s="39">
        <f>P60*1</f>
        <v>420</v>
      </c>
      <c r="Q74" s="36">
        <v>0.75</v>
      </c>
      <c r="R74" s="39">
        <f>R60*1</f>
        <v>22077.619200000001</v>
      </c>
      <c r="S74" s="39">
        <f>S60*1</f>
        <v>100</v>
      </c>
      <c r="T74" s="39">
        <f>T60*1</f>
        <v>200</v>
      </c>
      <c r="U74" s="39">
        <f>U60*1</f>
        <v>150</v>
      </c>
      <c r="V74" s="42">
        <v>20</v>
      </c>
      <c r="W74" s="42">
        <v>4500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342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34"/>
      <c r="L75" s="39">
        <v>39062500</v>
      </c>
      <c r="M75" s="39">
        <v>316.40625</v>
      </c>
      <c r="N75" s="39">
        <v>78125000</v>
      </c>
      <c r="O75" s="39">
        <f>O49*1</f>
        <v>3000</v>
      </c>
      <c r="P75" s="39">
        <f>P49*1</f>
        <v>365</v>
      </c>
      <c r="Q75" s="36">
        <v>0.75</v>
      </c>
      <c r="R75" s="39">
        <f>R49*1</f>
        <v>400</v>
      </c>
      <c r="S75" s="39">
        <f>S49*1</f>
        <v>10</v>
      </c>
      <c r="T75" s="39">
        <f>T49*1</f>
        <v>200</v>
      </c>
      <c r="U75" s="39">
        <f>U49*1</f>
        <v>40</v>
      </c>
      <c r="V75" s="42">
        <v>20</v>
      </c>
      <c r="W75" s="42">
        <v>1382.4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342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34"/>
      <c r="L76" s="39">
        <f t="shared" ref="L76:M76" si="61">L55*1.1</f>
        <v>182617187.5</v>
      </c>
      <c r="M76" s="39">
        <f t="shared" si="61"/>
        <v>1479.1992187500002</v>
      </c>
      <c r="N76" s="39">
        <f>N55*1.1</f>
        <v>365234375</v>
      </c>
      <c r="O76" s="39">
        <f>O53*1</f>
        <v>30000</v>
      </c>
      <c r="P76" s="39">
        <f>P53*1</f>
        <v>385</v>
      </c>
      <c r="Q76" s="36">
        <v>0.75</v>
      </c>
      <c r="R76" s="39">
        <f>R53*1</f>
        <v>3600</v>
      </c>
      <c r="S76" s="39">
        <f>S53*1</f>
        <v>100</v>
      </c>
      <c r="T76" s="39">
        <f>T53*1</f>
        <v>200</v>
      </c>
      <c r="U76" s="39">
        <v>125</v>
      </c>
      <c r="V76" s="42">
        <v>20</v>
      </c>
      <c r="W76" s="42">
        <v>2534.4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342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34"/>
      <c r="L77" s="39">
        <f t="shared" ref="L77:M77" si="62">L63*0.9</f>
        <v>1107457965.0878913</v>
      </c>
      <c r="M77" s="39">
        <f t="shared" si="62"/>
        <v>8970.4095172119178</v>
      </c>
      <c r="N77" s="39">
        <f>N63*0.9</f>
        <v>2214915930.1757827</v>
      </c>
      <c r="O77" s="39">
        <f>O58</f>
        <v>30000</v>
      </c>
      <c r="P77" s="39">
        <f>P58</f>
        <v>410</v>
      </c>
      <c r="Q77" s="36">
        <v>0.75</v>
      </c>
      <c r="R77" s="39">
        <f>R58</f>
        <v>15331.68</v>
      </c>
      <c r="S77" s="39">
        <f>S58</f>
        <v>100</v>
      </c>
      <c r="T77" s="39">
        <f>T58</f>
        <v>200</v>
      </c>
      <c r="U77" s="39">
        <f>U58</f>
        <v>150</v>
      </c>
      <c r="V77" s="42">
        <v>20</v>
      </c>
      <c r="W77" s="42">
        <v>3600</v>
      </c>
      <c r="X77" s="42">
        <v>10</v>
      </c>
      <c r="Y77" s="42">
        <v>250</v>
      </c>
    </row>
    <row r="78" spans="1:25" ht="15" x14ac:dyDescent="0.15">
      <c r="A78" s="27" t="s">
        <v>285</v>
      </c>
      <c r="B78" s="11" t="s">
        <v>180</v>
      </c>
      <c r="C78" s="12" t="s">
        <v>342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34"/>
      <c r="L78" s="39">
        <f t="shared" ref="L78:M78" si="63">L65*1.2</f>
        <v>2436407523.1933608</v>
      </c>
      <c r="M78" s="39">
        <f t="shared" si="63"/>
        <v>19734.900937866223</v>
      </c>
      <c r="N78" s="39">
        <f>N65*1.2</f>
        <v>4872815046.3867216</v>
      </c>
      <c r="O78" s="39">
        <f>O64</f>
        <v>30000</v>
      </c>
      <c r="P78" s="39">
        <f>P64</f>
        <v>440</v>
      </c>
      <c r="Q78" s="36">
        <v>0.75</v>
      </c>
      <c r="R78" s="39">
        <f>R64</f>
        <v>57861.024399359994</v>
      </c>
      <c r="S78" s="39">
        <f>S64</f>
        <v>100</v>
      </c>
      <c r="T78" s="39">
        <f>T64</f>
        <v>200</v>
      </c>
      <c r="U78" s="39">
        <f>U64</f>
        <v>200</v>
      </c>
      <c r="V78" s="42">
        <v>20</v>
      </c>
      <c r="W78" s="42">
        <v>5529.6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342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34"/>
      <c r="L79" s="39">
        <f>L53*1.1</f>
        <v>85937500</v>
      </c>
      <c r="M79" s="39">
        <f t="shared" ref="M79:N79" si="64">M53*1.1</f>
        <v>696.09375</v>
      </c>
      <c r="N79" s="39">
        <f t="shared" si="64"/>
        <v>171875000</v>
      </c>
      <c r="O79" s="39">
        <f>O50*1</f>
        <v>3000</v>
      </c>
      <c r="P79" s="39">
        <f>P50*1</f>
        <v>370</v>
      </c>
      <c r="Q79" s="36">
        <v>0.75</v>
      </c>
      <c r="R79" s="39">
        <f>R50*1</f>
        <v>800</v>
      </c>
      <c r="S79" s="39">
        <f>S50*1</f>
        <v>10</v>
      </c>
      <c r="T79" s="39">
        <f>T50*1</f>
        <v>200</v>
      </c>
      <c r="U79" s="39">
        <v>100</v>
      </c>
      <c r="V79" s="42">
        <v>20</v>
      </c>
      <c r="W79" s="42">
        <v>1350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342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34"/>
      <c r="L80" s="39">
        <f>L55*1.1</f>
        <v>182617187.5</v>
      </c>
      <c r="M80" s="39">
        <f t="shared" ref="M80:N80" si="65">M55*1.1</f>
        <v>1479.1992187500002</v>
      </c>
      <c r="N80" s="39">
        <f t="shared" si="65"/>
        <v>365234375</v>
      </c>
      <c r="O80" s="39">
        <f t="shared" ref="O80:P88" si="66">O52*1</f>
        <v>30000</v>
      </c>
      <c r="P80" s="39">
        <f t="shared" si="66"/>
        <v>380</v>
      </c>
      <c r="Q80" s="36">
        <v>0.75</v>
      </c>
      <c r="R80" s="39">
        <f t="shared" ref="R80:T88" si="67">R52*1</f>
        <v>2400</v>
      </c>
      <c r="S80" s="39">
        <f t="shared" si="67"/>
        <v>100</v>
      </c>
      <c r="T80" s="39">
        <f t="shared" si="67"/>
        <v>200</v>
      </c>
      <c r="U80" s="39">
        <v>150</v>
      </c>
      <c r="V80" s="42">
        <v>20</v>
      </c>
      <c r="W80" s="42">
        <v>2250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342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34"/>
      <c r="L81" s="39">
        <f>L57*1.1</f>
        <v>301318359.375</v>
      </c>
      <c r="M81" s="39">
        <f t="shared" ref="M81:N81" si="68">M57*1.1</f>
        <v>2440.6787109375</v>
      </c>
      <c r="N81" s="39">
        <f t="shared" si="68"/>
        <v>602636718.75</v>
      </c>
      <c r="O81" s="39">
        <f t="shared" si="66"/>
        <v>30000</v>
      </c>
      <c r="P81" s="39">
        <f t="shared" si="66"/>
        <v>385</v>
      </c>
      <c r="Q81" s="36">
        <v>0.75</v>
      </c>
      <c r="R81" s="39">
        <f t="shared" si="67"/>
        <v>3600</v>
      </c>
      <c r="S81" s="39">
        <f t="shared" si="67"/>
        <v>100</v>
      </c>
      <c r="T81" s="39">
        <f t="shared" si="67"/>
        <v>200</v>
      </c>
      <c r="U81" s="39">
        <f t="shared" ref="U81:U88" si="69">U53*1</f>
        <v>80</v>
      </c>
      <c r="V81" s="42">
        <v>20</v>
      </c>
      <c r="W81" s="42">
        <v>3150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342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34"/>
      <c r="L82" s="39">
        <f>L59*1.1</f>
        <v>497175292.96875012</v>
      </c>
      <c r="M82" s="39">
        <f t="shared" ref="M82:N82" si="70">M59*1.1</f>
        <v>4027.1198730468759</v>
      </c>
      <c r="N82" s="39">
        <f t="shared" si="70"/>
        <v>994350585.93750024</v>
      </c>
      <c r="O82" s="39">
        <f t="shared" si="66"/>
        <v>30000</v>
      </c>
      <c r="P82" s="39">
        <f t="shared" si="66"/>
        <v>390</v>
      </c>
      <c r="Q82" s="36">
        <v>0.75</v>
      </c>
      <c r="R82" s="39">
        <f t="shared" si="67"/>
        <v>5400</v>
      </c>
      <c r="S82" s="39">
        <f t="shared" si="67"/>
        <v>100</v>
      </c>
      <c r="T82" s="39">
        <f t="shared" si="67"/>
        <v>200</v>
      </c>
      <c r="U82" s="39">
        <f t="shared" si="69"/>
        <v>90</v>
      </c>
      <c r="V82" s="42">
        <v>20</v>
      </c>
      <c r="W82" s="42">
        <v>4050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342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34"/>
      <c r="L83" s="39">
        <f>L61*1.1</f>
        <v>820339233.39843786</v>
      </c>
      <c r="M83" s="39">
        <f t="shared" ref="M83:N83" si="71">M61*1.1</f>
        <v>6644.7477905273463</v>
      </c>
      <c r="N83" s="39">
        <f t="shared" si="71"/>
        <v>1640678466.7968757</v>
      </c>
      <c r="O83" s="39">
        <f t="shared" si="66"/>
        <v>30000</v>
      </c>
      <c r="P83" s="39">
        <f t="shared" si="66"/>
        <v>395</v>
      </c>
      <c r="Q83" s="36">
        <v>0.75</v>
      </c>
      <c r="R83" s="39">
        <f t="shared" si="67"/>
        <v>7560</v>
      </c>
      <c r="S83" s="39">
        <f t="shared" si="67"/>
        <v>100</v>
      </c>
      <c r="T83" s="39">
        <f t="shared" si="67"/>
        <v>200</v>
      </c>
      <c r="U83" s="39">
        <f t="shared" si="69"/>
        <v>100</v>
      </c>
      <c r="V83" s="42">
        <v>20</v>
      </c>
      <c r="W83" s="42">
        <v>4950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342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34"/>
      <c r="L84" s="39">
        <f>L63*1.1</f>
        <v>1353559735.1074228</v>
      </c>
      <c r="M84" s="39">
        <f t="shared" ref="M84:N84" si="72">M63*1.1</f>
        <v>10963.833854370123</v>
      </c>
      <c r="N84" s="39">
        <f t="shared" si="72"/>
        <v>2707119470.2148457</v>
      </c>
      <c r="O84" s="39">
        <f t="shared" si="66"/>
        <v>30000</v>
      </c>
      <c r="P84" s="39">
        <f t="shared" si="66"/>
        <v>400</v>
      </c>
      <c r="Q84" s="36">
        <v>0.75</v>
      </c>
      <c r="R84" s="39">
        <f t="shared" si="67"/>
        <v>9828</v>
      </c>
      <c r="S84" s="39">
        <f t="shared" si="67"/>
        <v>100</v>
      </c>
      <c r="T84" s="39">
        <f t="shared" si="67"/>
        <v>200</v>
      </c>
      <c r="U84" s="39">
        <f t="shared" si="69"/>
        <v>150</v>
      </c>
      <c r="V84" s="42">
        <v>20</v>
      </c>
      <c r="W84" s="42">
        <v>5850</v>
      </c>
      <c r="X84" s="42">
        <v>10</v>
      </c>
      <c r="Y84" s="42">
        <v>250</v>
      </c>
    </row>
    <row r="85" spans="1:25" ht="15" x14ac:dyDescent="0.15">
      <c r="A85" s="27" t="s">
        <v>292</v>
      </c>
      <c r="B85" s="11" t="s">
        <v>215</v>
      </c>
      <c r="C85" s="12" t="s">
        <v>342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34"/>
      <c r="L85" s="39">
        <f>L65*1.05</f>
        <v>2131856582.7941909</v>
      </c>
      <c r="M85" s="39">
        <f t="shared" ref="M85:N85" si="73">M65*1.05</f>
        <v>17268.038320632946</v>
      </c>
      <c r="N85" s="39">
        <f t="shared" si="73"/>
        <v>4263713165.5883818</v>
      </c>
      <c r="O85" s="39">
        <f t="shared" si="66"/>
        <v>30000</v>
      </c>
      <c r="P85" s="39">
        <f t="shared" si="66"/>
        <v>405</v>
      </c>
      <c r="Q85" s="36">
        <v>0.75</v>
      </c>
      <c r="R85" s="39">
        <f t="shared" si="67"/>
        <v>12776.400000000001</v>
      </c>
      <c r="S85" s="39">
        <f t="shared" si="67"/>
        <v>100</v>
      </c>
      <c r="T85" s="39">
        <f t="shared" si="67"/>
        <v>200</v>
      </c>
      <c r="U85" s="39">
        <f t="shared" si="69"/>
        <v>150</v>
      </c>
      <c r="V85" s="42">
        <v>20</v>
      </c>
      <c r="W85" s="42">
        <v>6750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342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34"/>
      <c r="L86" s="39">
        <f>L85*1.1</f>
        <v>2345042241.0736103</v>
      </c>
      <c r="M86" s="39">
        <f t="shared" ref="M86:N88" si="74">M85*1.1</f>
        <v>18994.842152696241</v>
      </c>
      <c r="N86" s="39">
        <f t="shared" si="74"/>
        <v>4690084482.1472206</v>
      </c>
      <c r="O86" s="39">
        <f t="shared" si="66"/>
        <v>30000</v>
      </c>
      <c r="P86" s="39">
        <f t="shared" si="66"/>
        <v>410</v>
      </c>
      <c r="Q86" s="36">
        <v>0.75</v>
      </c>
      <c r="R86" s="39">
        <f t="shared" si="67"/>
        <v>15331.68</v>
      </c>
      <c r="S86" s="39">
        <f t="shared" si="67"/>
        <v>100</v>
      </c>
      <c r="T86" s="39">
        <f t="shared" si="67"/>
        <v>200</v>
      </c>
      <c r="U86" s="39">
        <f t="shared" si="69"/>
        <v>150</v>
      </c>
      <c r="V86" s="42">
        <v>20</v>
      </c>
      <c r="W86" s="42">
        <v>7650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342</v>
      </c>
      <c r="E87" s="15"/>
      <c r="F87" s="33">
        <v>500</v>
      </c>
      <c r="G87" s="42"/>
      <c r="H87" s="42"/>
      <c r="I87" s="33">
        <v>500</v>
      </c>
      <c r="J87" s="49">
        <v>0.1</v>
      </c>
      <c r="K87" s="34"/>
      <c r="L87" s="39">
        <f>L86*1.1</f>
        <v>2579546465.1809716</v>
      </c>
      <c r="M87" s="39">
        <f t="shared" si="74"/>
        <v>20894.326367965867</v>
      </c>
      <c r="N87" s="39">
        <f t="shared" si="74"/>
        <v>5159092930.3619432</v>
      </c>
      <c r="O87" s="39">
        <f t="shared" si="66"/>
        <v>30000</v>
      </c>
      <c r="P87" s="39">
        <f t="shared" si="66"/>
        <v>415</v>
      </c>
      <c r="Q87" s="36">
        <v>0.75</v>
      </c>
      <c r="R87" s="39">
        <f t="shared" si="67"/>
        <v>18398.016</v>
      </c>
      <c r="S87" s="39">
        <f t="shared" si="67"/>
        <v>100</v>
      </c>
      <c r="T87" s="39">
        <f t="shared" si="67"/>
        <v>200</v>
      </c>
      <c r="U87" s="39">
        <f t="shared" si="69"/>
        <v>150</v>
      </c>
      <c r="V87" s="42">
        <v>20</v>
      </c>
      <c r="W87" s="42">
        <v>8550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342</v>
      </c>
      <c r="E88" s="15"/>
      <c r="F88" s="33">
        <v>500</v>
      </c>
      <c r="G88" s="42"/>
      <c r="H88" s="42"/>
      <c r="I88" s="33">
        <v>500</v>
      </c>
      <c r="J88" s="49">
        <v>0.1</v>
      </c>
      <c r="K88" s="34"/>
      <c r="L88" s="39">
        <f>L87*1.1</f>
        <v>2837501111.699069</v>
      </c>
      <c r="M88" s="39">
        <f t="shared" si="74"/>
        <v>22983.759004762454</v>
      </c>
      <c r="N88" s="39">
        <f t="shared" si="74"/>
        <v>5675002223.398138</v>
      </c>
      <c r="O88" s="39">
        <f t="shared" si="66"/>
        <v>30000</v>
      </c>
      <c r="P88" s="39">
        <f t="shared" si="66"/>
        <v>420</v>
      </c>
      <c r="Q88" s="36">
        <v>0.75</v>
      </c>
      <c r="R88" s="39">
        <f t="shared" si="67"/>
        <v>22077.619200000001</v>
      </c>
      <c r="S88" s="39">
        <f t="shared" si="67"/>
        <v>100</v>
      </c>
      <c r="T88" s="39">
        <f t="shared" si="67"/>
        <v>200</v>
      </c>
      <c r="U88" s="39">
        <f t="shared" si="69"/>
        <v>150</v>
      </c>
      <c r="V88" s="42">
        <v>20</v>
      </c>
      <c r="W88" s="42">
        <v>13500</v>
      </c>
      <c r="X88" s="42">
        <v>20</v>
      </c>
      <c r="Y88" s="42">
        <v>500</v>
      </c>
    </row>
    <row r="89" spans="1:25" ht="15" x14ac:dyDescent="0.15">
      <c r="A89" s="27" t="s">
        <v>369</v>
      </c>
      <c r="B89" s="11" t="s">
        <v>221</v>
      </c>
      <c r="C89" s="12" t="s">
        <v>330</v>
      </c>
      <c r="E89" s="15"/>
      <c r="F89" s="33">
        <v>500</v>
      </c>
      <c r="G89" s="42"/>
      <c r="H89" s="42"/>
      <c r="I89" s="33">
        <v>500</v>
      </c>
      <c r="J89" s="49">
        <v>0.1</v>
      </c>
      <c r="K89" s="34"/>
      <c r="L89" s="39">
        <f>L93/10</f>
        <v>31638427.734375</v>
      </c>
      <c r="M89" s="39">
        <f t="shared" ref="M89:N89" si="75">M93/10</f>
        <v>256.27126464843752</v>
      </c>
      <c r="N89" s="39">
        <f t="shared" si="75"/>
        <v>63276855.46875</v>
      </c>
      <c r="O89" s="39">
        <f t="shared" ref="O89:U89" si="76">O55*1</f>
        <v>30000</v>
      </c>
      <c r="P89" s="39">
        <f t="shared" si="76"/>
        <v>395</v>
      </c>
      <c r="Q89" s="39">
        <f t="shared" si="76"/>
        <v>0.75</v>
      </c>
      <c r="R89" s="39">
        <f t="shared" si="76"/>
        <v>7560</v>
      </c>
      <c r="S89" s="39">
        <f t="shared" si="76"/>
        <v>100</v>
      </c>
      <c r="T89" s="39">
        <f t="shared" si="76"/>
        <v>200</v>
      </c>
      <c r="U89" s="39">
        <f t="shared" si="76"/>
        <v>100</v>
      </c>
      <c r="V89" s="39">
        <v>20</v>
      </c>
      <c r="W89" s="39">
        <v>576</v>
      </c>
      <c r="X89" s="39">
        <f>X55*1</f>
        <v>0</v>
      </c>
      <c r="Y89" s="39">
        <v>0</v>
      </c>
    </row>
    <row r="90" spans="1:25" ht="15" x14ac:dyDescent="0.15">
      <c r="A90" s="27" t="s">
        <v>371</v>
      </c>
      <c r="B90" s="11" t="s">
        <v>222</v>
      </c>
      <c r="C90" s="12" t="s">
        <v>330</v>
      </c>
      <c r="E90" s="15"/>
      <c r="F90" s="33">
        <v>500</v>
      </c>
      <c r="G90" s="42"/>
      <c r="H90" s="42"/>
      <c r="I90" s="33">
        <v>500</v>
      </c>
      <c r="J90" s="49">
        <v>0.1</v>
      </c>
      <c r="K90" s="34"/>
      <c r="L90" s="39">
        <f>L94/10</f>
        <v>86135619.506835967</v>
      </c>
      <c r="M90" s="39">
        <f t="shared" ref="M90:N90" si="77">M94/10</f>
        <v>697.6985180053714</v>
      </c>
      <c r="N90" s="39">
        <f t="shared" si="77"/>
        <v>172271239.01367193</v>
      </c>
      <c r="O90" s="39">
        <f t="shared" ref="O90:U90" si="78">O59*1</f>
        <v>30000</v>
      </c>
      <c r="P90" s="39">
        <f t="shared" si="78"/>
        <v>415</v>
      </c>
      <c r="Q90" s="39">
        <f t="shared" si="78"/>
        <v>0.75</v>
      </c>
      <c r="R90" s="39">
        <f t="shared" si="78"/>
        <v>18398.016</v>
      </c>
      <c r="S90" s="39">
        <f t="shared" si="78"/>
        <v>100</v>
      </c>
      <c r="T90" s="39">
        <f t="shared" si="78"/>
        <v>200</v>
      </c>
      <c r="U90" s="39">
        <f t="shared" si="78"/>
        <v>150</v>
      </c>
      <c r="V90" s="39">
        <v>20</v>
      </c>
      <c r="W90" s="39">
        <v>1152</v>
      </c>
      <c r="X90" s="39">
        <f>X59*1</f>
        <v>0</v>
      </c>
      <c r="Y90" s="39">
        <v>0</v>
      </c>
    </row>
    <row r="91" spans="1:25" ht="15" x14ac:dyDescent="0.15">
      <c r="A91" s="27" t="s">
        <v>372</v>
      </c>
      <c r="B91" s="11" t="s">
        <v>223</v>
      </c>
      <c r="C91" s="12" t="s">
        <v>330</v>
      </c>
      <c r="E91" s="15"/>
      <c r="F91" s="33">
        <v>500</v>
      </c>
      <c r="G91" s="42"/>
      <c r="H91" s="42"/>
      <c r="I91" s="33">
        <v>500</v>
      </c>
      <c r="J91" s="49">
        <v>0.1</v>
      </c>
      <c r="K91" s="34"/>
      <c r="L91" s="39">
        <f>L95/10</f>
        <v>223844941.19339004</v>
      </c>
      <c r="M91" s="39">
        <f t="shared" ref="M91:N91" si="79">M95/10</f>
        <v>1813.1440236664596</v>
      </c>
      <c r="N91" s="39">
        <f t="shared" si="79"/>
        <v>447689882.38678008</v>
      </c>
      <c r="O91" s="39">
        <f t="shared" ref="O91:U91" si="80">O63*1</f>
        <v>30000</v>
      </c>
      <c r="P91" s="39">
        <f t="shared" si="80"/>
        <v>435</v>
      </c>
      <c r="Q91" s="39">
        <f t="shared" si="80"/>
        <v>0.75</v>
      </c>
      <c r="R91" s="39">
        <f t="shared" si="80"/>
        <v>48217.520332799992</v>
      </c>
      <c r="S91" s="39">
        <f t="shared" si="80"/>
        <v>100</v>
      </c>
      <c r="T91" s="39">
        <f t="shared" si="80"/>
        <v>200</v>
      </c>
      <c r="U91" s="39">
        <f t="shared" si="80"/>
        <v>200</v>
      </c>
      <c r="V91" s="39">
        <v>20</v>
      </c>
      <c r="W91" s="39">
        <v>1728</v>
      </c>
      <c r="X91" s="39">
        <v>0</v>
      </c>
      <c r="Y91" s="39">
        <v>0</v>
      </c>
    </row>
    <row r="92" spans="1:25" ht="15" x14ac:dyDescent="0.15">
      <c r="A92" s="27" t="s">
        <v>373</v>
      </c>
      <c r="B92" s="11" t="s">
        <v>224</v>
      </c>
      <c r="C92" s="12" t="s">
        <v>330</v>
      </c>
      <c r="E92" s="15"/>
      <c r="F92" s="33">
        <v>500</v>
      </c>
      <c r="G92" s="42"/>
      <c r="H92" s="42"/>
      <c r="I92" s="33">
        <v>500</v>
      </c>
      <c r="J92" s="49">
        <v>0.1</v>
      </c>
      <c r="K92" s="34"/>
      <c r="L92" s="39">
        <f>L96/10</f>
        <v>270852378.84400201</v>
      </c>
      <c r="M92" s="39">
        <f t="shared" ref="M92:N92" si="81">M96/10</f>
        <v>2193.9042686364164</v>
      </c>
      <c r="N92" s="39">
        <f t="shared" si="81"/>
        <v>541704757.68800402</v>
      </c>
      <c r="O92" s="39">
        <f t="shared" ref="O92:U92" si="82">O69*1</f>
        <v>30000</v>
      </c>
      <c r="P92" s="39">
        <f t="shared" si="82"/>
        <v>465</v>
      </c>
      <c r="Q92" s="39">
        <f t="shared" si="82"/>
        <v>0.75</v>
      </c>
      <c r="R92" s="39">
        <f t="shared" si="82"/>
        <v>181970.60729501117</v>
      </c>
      <c r="S92" s="39">
        <f t="shared" si="82"/>
        <v>100</v>
      </c>
      <c r="T92" s="39">
        <f t="shared" si="82"/>
        <v>200</v>
      </c>
      <c r="U92" s="39">
        <f t="shared" si="82"/>
        <v>300</v>
      </c>
      <c r="V92" s="39">
        <v>20</v>
      </c>
      <c r="W92" s="39">
        <v>2304</v>
      </c>
      <c r="X92" s="39">
        <v>0</v>
      </c>
      <c r="Y92" s="39">
        <v>0</v>
      </c>
    </row>
    <row r="93" spans="1:25" ht="15" x14ac:dyDescent="0.15">
      <c r="A93" s="27" t="s">
        <v>370</v>
      </c>
      <c r="B93" s="11" t="s">
        <v>225</v>
      </c>
      <c r="C93" s="12" t="s">
        <v>342</v>
      </c>
      <c r="E93" s="15"/>
      <c r="F93" s="33">
        <v>500</v>
      </c>
      <c r="G93" s="42"/>
      <c r="H93" s="42"/>
      <c r="I93" s="33">
        <v>500</v>
      </c>
      <c r="J93" s="49">
        <v>0.1</v>
      </c>
      <c r="K93" s="34"/>
      <c r="L93" s="39">
        <f>L81*1.05</f>
        <v>316384277.34375</v>
      </c>
      <c r="M93" s="39">
        <f t="shared" ref="M93:N93" si="83">M81*1.05</f>
        <v>2562.712646484375</v>
      </c>
      <c r="N93" s="39">
        <f t="shared" si="83"/>
        <v>632768554.6875</v>
      </c>
      <c r="O93" s="39">
        <f>O57*1</f>
        <v>30000</v>
      </c>
      <c r="P93" s="39">
        <f>P57*1</f>
        <v>405</v>
      </c>
      <c r="Q93" s="36">
        <v>0.75</v>
      </c>
      <c r="R93" s="39">
        <f>R57*1</f>
        <v>12776.400000000001</v>
      </c>
      <c r="S93" s="39">
        <f>S57*1</f>
        <v>100</v>
      </c>
      <c r="T93" s="39">
        <f>T57*1</f>
        <v>200</v>
      </c>
      <c r="U93" s="39">
        <f>U57*1</f>
        <v>150</v>
      </c>
      <c r="V93" s="39">
        <v>20</v>
      </c>
      <c r="W93" s="39">
        <v>2880</v>
      </c>
      <c r="X93" s="39">
        <f>X57*1</f>
        <v>0</v>
      </c>
      <c r="Y93" s="39">
        <v>0</v>
      </c>
    </row>
    <row r="94" spans="1:25" ht="15" x14ac:dyDescent="0.15">
      <c r="A94" s="27" t="s">
        <v>374</v>
      </c>
      <c r="B94" s="11" t="s">
        <v>226</v>
      </c>
      <c r="C94" s="12" t="s">
        <v>342</v>
      </c>
      <c r="E94" s="15"/>
      <c r="F94" s="33">
        <v>500</v>
      </c>
      <c r="G94" s="42"/>
      <c r="H94" s="42"/>
      <c r="I94" s="33">
        <v>500</v>
      </c>
      <c r="J94" s="49">
        <v>0.1</v>
      </c>
      <c r="K94" s="34"/>
      <c r="L94" s="39">
        <f>L83*1.05</f>
        <v>861356195.06835973</v>
      </c>
      <c r="M94" s="39">
        <f t="shared" ref="M94:N94" si="84">M83*1.05</f>
        <v>6976.9851800537135</v>
      </c>
      <c r="N94" s="39">
        <f t="shared" si="84"/>
        <v>1722712390.1367195</v>
      </c>
      <c r="O94" s="39">
        <f>O61*1</f>
        <v>30000</v>
      </c>
      <c r="P94" s="39">
        <f>P61*1</f>
        <v>425</v>
      </c>
      <c r="Q94" s="36">
        <v>0.75</v>
      </c>
      <c r="R94" s="39">
        <f>R61*1</f>
        <v>30908.666879999997</v>
      </c>
      <c r="S94" s="39">
        <f>S61*1</f>
        <v>100</v>
      </c>
      <c r="T94" s="39">
        <f>T61*1</f>
        <v>200</v>
      </c>
      <c r="U94" s="39">
        <f>U61*1</f>
        <v>200</v>
      </c>
      <c r="V94" s="39">
        <v>20</v>
      </c>
      <c r="W94" s="39">
        <v>3456</v>
      </c>
      <c r="X94" s="39">
        <f>X61*1</f>
        <v>0</v>
      </c>
      <c r="Y94" s="39">
        <v>0</v>
      </c>
    </row>
    <row r="95" spans="1:25" ht="15" x14ac:dyDescent="0.15">
      <c r="A95" s="27" t="s">
        <v>375</v>
      </c>
      <c r="B95" s="11" t="s">
        <v>227</v>
      </c>
      <c r="C95" s="12" t="s">
        <v>342</v>
      </c>
      <c r="E95" s="15"/>
      <c r="F95" s="33">
        <v>500</v>
      </c>
      <c r="G95" s="42"/>
      <c r="H95" s="42"/>
      <c r="I95" s="33">
        <v>500</v>
      </c>
      <c r="J95" s="49">
        <v>0.1</v>
      </c>
      <c r="K95" s="34"/>
      <c r="L95" s="39">
        <f>L85*1.05</f>
        <v>2238449411.9339004</v>
      </c>
      <c r="M95" s="39">
        <f t="shared" ref="M95:N95" si="85">M85*1.05</f>
        <v>18131.440236664595</v>
      </c>
      <c r="N95" s="39">
        <f t="shared" si="85"/>
        <v>4476898823.8678007</v>
      </c>
      <c r="O95" s="39">
        <f>O65*1</f>
        <v>30000</v>
      </c>
      <c r="P95" s="39">
        <f>P65*1</f>
        <v>445</v>
      </c>
      <c r="Q95" s="36">
        <v>0.75</v>
      </c>
      <c r="R95" s="39">
        <f>R65*1</f>
        <v>69433.229279231993</v>
      </c>
      <c r="S95" s="39">
        <f>S65*1</f>
        <v>100</v>
      </c>
      <c r="T95" s="39">
        <f>T65*1</f>
        <v>200</v>
      </c>
      <c r="U95" s="39">
        <f>U65*1</f>
        <v>200</v>
      </c>
      <c r="V95" s="39">
        <v>20</v>
      </c>
      <c r="W95" s="39">
        <v>4500</v>
      </c>
      <c r="X95" s="39">
        <v>20</v>
      </c>
      <c r="Y95" s="42">
        <v>500</v>
      </c>
    </row>
    <row r="96" spans="1:25" ht="15" x14ac:dyDescent="0.15">
      <c r="A96" s="27" t="s">
        <v>376</v>
      </c>
      <c r="B96" s="11" t="s">
        <v>228</v>
      </c>
      <c r="C96" s="12" t="s">
        <v>342</v>
      </c>
      <c r="E96" s="15"/>
      <c r="F96" s="33">
        <v>500</v>
      </c>
      <c r="G96" s="42"/>
      <c r="H96" s="42"/>
      <c r="I96" s="33">
        <v>500</v>
      </c>
      <c r="J96" s="49">
        <v>0.1</v>
      </c>
      <c r="K96" s="34"/>
      <c r="L96" s="39">
        <f>L87*1.05</f>
        <v>2708523788.4400201</v>
      </c>
      <c r="M96" s="39">
        <f>M87*1.05</f>
        <v>21939.042686364162</v>
      </c>
      <c r="N96" s="39">
        <f t="shared" ref="N96" si="86">N87*1.05</f>
        <v>5417047576.8800402</v>
      </c>
      <c r="O96" s="39">
        <f>O69*1</f>
        <v>30000</v>
      </c>
      <c r="P96" s="39">
        <f>P69*1</f>
        <v>465</v>
      </c>
      <c r="Q96" s="36">
        <v>0.75</v>
      </c>
      <c r="R96" s="39">
        <f>R69*1</f>
        <v>181970.60729501117</v>
      </c>
      <c r="S96" s="39">
        <f>S69*1</f>
        <v>100</v>
      </c>
      <c r="T96" s="39">
        <f>T69*1</f>
        <v>200</v>
      </c>
      <c r="U96" s="39">
        <f>U69*1</f>
        <v>300</v>
      </c>
      <c r="V96" s="39">
        <v>20</v>
      </c>
      <c r="W96" s="39">
        <v>6912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330</v>
      </c>
      <c r="E97" s="15"/>
      <c r="F97" s="33">
        <v>0</v>
      </c>
      <c r="G97" s="42"/>
      <c r="H97" s="42"/>
      <c r="I97" s="33">
        <v>10</v>
      </c>
      <c r="J97" s="49">
        <v>0.1</v>
      </c>
      <c r="K97" s="34"/>
      <c r="L97" s="39">
        <v>8</v>
      </c>
      <c r="M97" s="39">
        <v>4.5</v>
      </c>
      <c r="N97" s="39">
        <v>100</v>
      </c>
      <c r="O97" s="39">
        <f t="shared" ref="O97:U97" si="87">O4</f>
        <v>100</v>
      </c>
      <c r="P97" s="39">
        <f t="shared" si="87"/>
        <v>350</v>
      </c>
      <c r="Q97" s="39">
        <f t="shared" si="87"/>
        <v>1</v>
      </c>
      <c r="R97" s="39">
        <f t="shared" si="87"/>
        <v>10</v>
      </c>
      <c r="S97" s="39">
        <f t="shared" si="87"/>
        <v>1</v>
      </c>
      <c r="T97" s="39">
        <f t="shared" si="87"/>
        <v>200</v>
      </c>
      <c r="U97" s="39">
        <f t="shared" si="87"/>
        <v>10</v>
      </c>
      <c r="V97" s="39">
        <v>20</v>
      </c>
      <c r="W97" s="39">
        <v>45</v>
      </c>
      <c r="X97" s="39">
        <f>X4</f>
        <v>0</v>
      </c>
      <c r="Y97" s="39">
        <v>0</v>
      </c>
    </row>
    <row r="98" spans="1:25" ht="15" x14ac:dyDescent="0.15">
      <c r="A98" s="3" t="s">
        <v>328</v>
      </c>
      <c r="B98" s="11" t="s">
        <v>329</v>
      </c>
      <c r="C98" s="12" t="s">
        <v>342</v>
      </c>
      <c r="E98" s="15"/>
      <c r="F98" s="33">
        <v>0</v>
      </c>
      <c r="G98" s="42"/>
      <c r="H98" s="42"/>
      <c r="I98" s="33">
        <v>10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S99" si="88">O4</f>
        <v>100</v>
      </c>
      <c r="P98" s="39">
        <f t="shared" si="88"/>
        <v>350</v>
      </c>
      <c r="Q98" s="39">
        <f t="shared" si="88"/>
        <v>1</v>
      </c>
      <c r="R98" s="39">
        <f t="shared" si="88"/>
        <v>10</v>
      </c>
      <c r="S98" s="39">
        <f t="shared" si="88"/>
        <v>1</v>
      </c>
      <c r="T98" s="39">
        <v>400</v>
      </c>
      <c r="U98" s="39">
        <f>U4</f>
        <v>10</v>
      </c>
      <c r="V98" s="39">
        <v>20</v>
      </c>
      <c r="W98" s="39">
        <v>450</v>
      </c>
      <c r="X98" s="39">
        <f>X4</f>
        <v>0</v>
      </c>
      <c r="Y98" s="39">
        <v>0</v>
      </c>
    </row>
    <row r="99" spans="1:25" ht="15" x14ac:dyDescent="0.15">
      <c r="A99" s="51" t="s">
        <v>366</v>
      </c>
      <c r="B99" s="11" t="s">
        <v>367</v>
      </c>
      <c r="C99" s="12" t="s">
        <v>342</v>
      </c>
      <c r="F99" s="33">
        <v>500</v>
      </c>
      <c r="G99" s="15"/>
      <c r="H99" s="15"/>
      <c r="I99" s="33">
        <v>500</v>
      </c>
      <c r="J99" s="49">
        <v>0.1</v>
      </c>
      <c r="K99" s="15"/>
      <c r="L99" s="15">
        <v>2000000</v>
      </c>
      <c r="M99" s="15">
        <v>90</v>
      </c>
      <c r="N99" s="15">
        <v>10000000</v>
      </c>
      <c r="O99" s="39">
        <f t="shared" si="88"/>
        <v>100</v>
      </c>
      <c r="P99" s="39">
        <f t="shared" si="88"/>
        <v>355</v>
      </c>
      <c r="Q99" s="39">
        <f t="shared" si="88"/>
        <v>1</v>
      </c>
      <c r="R99" s="39">
        <f t="shared" si="88"/>
        <v>100</v>
      </c>
      <c r="S99" s="39">
        <f t="shared" si="88"/>
        <v>1</v>
      </c>
      <c r="T99" s="39">
        <v>400</v>
      </c>
      <c r="U99" s="39">
        <f>U5</f>
        <v>20</v>
      </c>
      <c r="V99" s="39">
        <v>20</v>
      </c>
      <c r="W99" s="39">
        <v>576</v>
      </c>
      <c r="X99" s="39">
        <f>X5</f>
        <v>0</v>
      </c>
      <c r="Y99" s="39">
        <v>0</v>
      </c>
    </row>
    <row r="100" spans="1:25" ht="15" x14ac:dyDescent="0.15">
      <c r="A100" s="52" t="s">
        <v>421</v>
      </c>
      <c r="B100" s="11" t="s">
        <v>380</v>
      </c>
      <c r="C100" s="12" t="s">
        <v>342</v>
      </c>
      <c r="F100" s="33">
        <v>500</v>
      </c>
      <c r="I100" s="33">
        <v>500</v>
      </c>
      <c r="J100" s="49">
        <v>0.1</v>
      </c>
      <c r="L100">
        <f>L62*1.25</f>
        <v>1398305511.4746099</v>
      </c>
      <c r="M100">
        <f t="shared" ref="M100:N100" si="89">M62*1.25</f>
        <v>11326.27464294434</v>
      </c>
      <c r="N100">
        <f t="shared" si="89"/>
        <v>2796611022.9492197</v>
      </c>
      <c r="O100" s="39">
        <f>O72*1</f>
        <v>30000</v>
      </c>
      <c r="P100" s="39">
        <f>P72*1</f>
        <v>375</v>
      </c>
      <c r="Q100" s="36">
        <v>0.75</v>
      </c>
      <c r="R100" s="39">
        <f>R72*1</f>
        <v>1600</v>
      </c>
      <c r="S100" s="39">
        <f>S72*1</f>
        <v>100</v>
      </c>
      <c r="T100" s="39">
        <f>T72*1</f>
        <v>200</v>
      </c>
      <c r="U100" s="39">
        <f>U72*1</f>
        <v>100</v>
      </c>
      <c r="V100" s="42">
        <v>20</v>
      </c>
      <c r="W100" s="42">
        <v>3600</v>
      </c>
      <c r="X100" s="42">
        <v>0</v>
      </c>
      <c r="Y100" s="42">
        <v>0</v>
      </c>
    </row>
    <row r="101" spans="1:25" ht="15" x14ac:dyDescent="0.15">
      <c r="A101" s="52" t="s">
        <v>422</v>
      </c>
      <c r="B101" s="11" t="s">
        <v>381</v>
      </c>
      <c r="C101" s="12" t="s">
        <v>342</v>
      </c>
      <c r="F101" s="33">
        <v>500</v>
      </c>
      <c r="I101" s="33">
        <v>500</v>
      </c>
      <c r="J101" s="49">
        <v>0.1</v>
      </c>
      <c r="L101">
        <v>1398305511.4746099</v>
      </c>
      <c r="M101">
        <v>11326.27464294434</v>
      </c>
      <c r="N101">
        <v>2796611022.9492197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20</v>
      </c>
      <c r="W101" s="42">
        <v>3600</v>
      </c>
      <c r="X101" s="42">
        <v>0</v>
      </c>
      <c r="Y101" s="42">
        <v>0</v>
      </c>
    </row>
    <row r="102" spans="1:25" ht="15" x14ac:dyDescent="0.15">
      <c r="A102" s="52" t="s">
        <v>423</v>
      </c>
      <c r="B102" s="11" t="s">
        <v>382</v>
      </c>
      <c r="C102" s="12" t="s">
        <v>342</v>
      </c>
      <c r="F102" s="33">
        <v>500</v>
      </c>
      <c r="I102" s="33">
        <v>500</v>
      </c>
      <c r="J102" s="49">
        <v>0.1</v>
      </c>
      <c r="L102">
        <v>1398305511.4746099</v>
      </c>
      <c r="M102">
        <v>11327.2746429443</v>
      </c>
      <c r="N102">
        <v>2796611022.9492197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20</v>
      </c>
      <c r="W102" s="42">
        <v>3600</v>
      </c>
      <c r="X102" s="42">
        <v>0</v>
      </c>
      <c r="Y102" s="42">
        <v>0</v>
      </c>
    </row>
    <row r="103" spans="1:25" ht="15" x14ac:dyDescent="0.15">
      <c r="A103" s="52" t="s">
        <v>424</v>
      </c>
      <c r="B103" s="11" t="s">
        <v>383</v>
      </c>
      <c r="C103" s="12" t="s">
        <v>342</v>
      </c>
      <c r="F103" s="33">
        <v>500</v>
      </c>
      <c r="I103" s="33">
        <v>500</v>
      </c>
      <c r="J103" s="49">
        <v>0.1</v>
      </c>
      <c r="L103">
        <v>1398305511.4746099</v>
      </c>
      <c r="M103">
        <v>11328.2746429443</v>
      </c>
      <c r="N103">
        <v>2796611022.9492197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20</v>
      </c>
      <c r="W103" s="42">
        <v>3600</v>
      </c>
      <c r="X103" s="42">
        <v>0</v>
      </c>
      <c r="Y103" s="42">
        <v>0</v>
      </c>
    </row>
    <row r="104" spans="1:25" ht="15" x14ac:dyDescent="0.15">
      <c r="A104" s="52" t="s">
        <v>418</v>
      </c>
      <c r="B104" s="11" t="s">
        <v>384</v>
      </c>
      <c r="C104" s="12" t="s">
        <v>342</v>
      </c>
      <c r="F104" s="33">
        <v>500</v>
      </c>
      <c r="I104" s="33">
        <v>500</v>
      </c>
      <c r="J104" s="49">
        <v>0.1</v>
      </c>
      <c r="L104">
        <v>1398305511.4746099</v>
      </c>
      <c r="M104">
        <v>11329.2746429443</v>
      </c>
      <c r="N104">
        <v>2796611022.9492197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20</v>
      </c>
      <c r="W104" s="42">
        <v>3600</v>
      </c>
      <c r="X104" s="42">
        <v>0</v>
      </c>
      <c r="Y104" s="42">
        <v>0</v>
      </c>
    </row>
    <row r="105" spans="1:25" ht="15" x14ac:dyDescent="0.15">
      <c r="A105" s="52" t="s">
        <v>419</v>
      </c>
      <c r="B105" s="11" t="s">
        <v>385</v>
      </c>
      <c r="C105" s="12" t="s">
        <v>342</v>
      </c>
      <c r="F105" s="33">
        <v>500</v>
      </c>
      <c r="I105" s="33">
        <v>500</v>
      </c>
      <c r="J105" s="49">
        <v>0.1</v>
      </c>
      <c r="L105">
        <v>1398305511.4746099</v>
      </c>
      <c r="M105">
        <v>11330.2746429443</v>
      </c>
      <c r="N105">
        <v>2796611022.9492197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20</v>
      </c>
      <c r="W105" s="42">
        <v>3600</v>
      </c>
      <c r="X105" s="42">
        <v>0</v>
      </c>
      <c r="Y105" s="42">
        <v>0</v>
      </c>
    </row>
    <row r="106" spans="1:25" ht="15" x14ac:dyDescent="0.15">
      <c r="A106" s="52" t="s">
        <v>420</v>
      </c>
      <c r="B106" s="11" t="s">
        <v>386</v>
      </c>
      <c r="C106" s="12" t="s">
        <v>342</v>
      </c>
      <c r="F106" s="33">
        <v>500</v>
      </c>
      <c r="I106" s="33">
        <v>500</v>
      </c>
      <c r="J106" s="49">
        <v>0.1</v>
      </c>
      <c r="K106" s="6"/>
      <c r="L106">
        <v>1398305511.4746099</v>
      </c>
      <c r="M106">
        <v>11331.2746429443</v>
      </c>
      <c r="N106">
        <v>2796611022.9492197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20</v>
      </c>
      <c r="W106" s="42">
        <v>3600</v>
      </c>
      <c r="X106" s="42">
        <v>0</v>
      </c>
      <c r="Y106" s="42">
        <v>0</v>
      </c>
    </row>
    <row r="107" spans="1:25" ht="15" x14ac:dyDescent="0.15">
      <c r="A107" s="52" t="s">
        <v>425</v>
      </c>
      <c r="B107" s="11" t="s">
        <v>387</v>
      </c>
      <c r="C107" s="12" t="s">
        <v>342</v>
      </c>
      <c r="F107" s="33">
        <v>500</v>
      </c>
      <c r="I107" s="33">
        <v>500</v>
      </c>
      <c r="J107" s="49">
        <v>0.1</v>
      </c>
      <c r="K107" s="6"/>
      <c r="L107">
        <v>1398305511.4746099</v>
      </c>
      <c r="M107">
        <v>11332.2746429443</v>
      </c>
      <c r="N107">
        <v>2796611022.9492197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20</v>
      </c>
      <c r="W107" s="42">
        <v>3600</v>
      </c>
      <c r="X107" s="42">
        <v>0</v>
      </c>
      <c r="Y107" s="42">
        <v>0</v>
      </c>
    </row>
    <row r="108" spans="1:25" ht="15" x14ac:dyDescent="0.15">
      <c r="A108" s="52" t="s">
        <v>426</v>
      </c>
      <c r="B108" s="11" t="s">
        <v>388</v>
      </c>
      <c r="C108" s="12" t="s">
        <v>342</v>
      </c>
      <c r="F108" s="33">
        <v>500</v>
      </c>
      <c r="I108" s="33">
        <v>500</v>
      </c>
      <c r="J108" s="49">
        <v>0.1</v>
      </c>
      <c r="L108">
        <v>1398305511.4746099</v>
      </c>
      <c r="M108">
        <v>11333.2746429443</v>
      </c>
      <c r="N108">
        <v>2796611022.9492197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20</v>
      </c>
      <c r="W108" s="42">
        <v>3600</v>
      </c>
      <c r="X108" s="42">
        <v>0</v>
      </c>
      <c r="Y108" s="42">
        <v>0</v>
      </c>
    </row>
    <row r="109" spans="1:25" ht="15" x14ac:dyDescent="0.15">
      <c r="A109" s="16" t="s">
        <v>395</v>
      </c>
      <c r="B109" s="11" t="s">
        <v>396</v>
      </c>
      <c r="C109" s="12" t="s">
        <v>342</v>
      </c>
      <c r="F109" s="33">
        <v>500</v>
      </c>
      <c r="I109" s="33">
        <v>500</v>
      </c>
      <c r="J109" s="49">
        <v>0.1</v>
      </c>
      <c r="L109">
        <f>L88*1.05</f>
        <v>2979376167.2840228</v>
      </c>
      <c r="M109">
        <f t="shared" ref="M109:N109" si="90">M88*1.05</f>
        <v>24132.946955000578</v>
      </c>
      <c r="N109">
        <f t="shared" si="90"/>
        <v>5958752334.5680456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20</v>
      </c>
      <c r="W109" s="42">
        <v>5760</v>
      </c>
      <c r="X109" s="39">
        <v>20</v>
      </c>
      <c r="Y109" s="42">
        <v>500</v>
      </c>
    </row>
    <row r="110" spans="1:25" ht="15" x14ac:dyDescent="0.15">
      <c r="A110" s="16" t="s">
        <v>398</v>
      </c>
      <c r="B110" s="11" t="s">
        <v>399</v>
      </c>
      <c r="C110" s="12" t="s">
        <v>330</v>
      </c>
      <c r="F110" s="33">
        <v>500</v>
      </c>
      <c r="I110" s="33">
        <v>500</v>
      </c>
      <c r="J110" s="49">
        <v>0.1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20</v>
      </c>
      <c r="W110" s="42">
        <v>45</v>
      </c>
      <c r="X110" s="42">
        <v>0</v>
      </c>
      <c r="Y110" s="42">
        <v>0</v>
      </c>
    </row>
    <row r="111" spans="1:25" ht="15" x14ac:dyDescent="0.15">
      <c r="A111" s="50" t="s">
        <v>402</v>
      </c>
      <c r="B111" s="11" t="s">
        <v>406</v>
      </c>
      <c r="C111" s="12" t="s">
        <v>342</v>
      </c>
      <c r="F111" s="33">
        <v>500</v>
      </c>
      <c r="I111" s="33">
        <v>500</v>
      </c>
      <c r="J111" s="49">
        <v>0.1</v>
      </c>
      <c r="L111">
        <f>L74*1.3</f>
        <v>2375497335.1135268</v>
      </c>
      <c r="M111">
        <f>M74*1.3</f>
        <v>19241.528414419572</v>
      </c>
      <c r="N111">
        <f>N74*1.3</f>
        <v>9501989340.4541073</v>
      </c>
      <c r="O111" s="53">
        <f t="shared" ref="O111:X111" si="91">O74</f>
        <v>30000</v>
      </c>
      <c r="P111" s="53">
        <f t="shared" si="91"/>
        <v>420</v>
      </c>
      <c r="Q111" s="53">
        <f t="shared" si="91"/>
        <v>0.75</v>
      </c>
      <c r="R111" s="53">
        <f t="shared" si="91"/>
        <v>22077.619200000001</v>
      </c>
      <c r="S111" s="53">
        <f t="shared" si="91"/>
        <v>100</v>
      </c>
      <c r="T111" s="53">
        <f t="shared" si="91"/>
        <v>200</v>
      </c>
      <c r="U111" s="53">
        <f t="shared" si="91"/>
        <v>150</v>
      </c>
      <c r="V111" s="53">
        <v>20</v>
      </c>
      <c r="W111" s="53">
        <v>4500</v>
      </c>
      <c r="X111" s="53">
        <f t="shared" si="91"/>
        <v>20</v>
      </c>
      <c r="Y111" s="42">
        <v>500</v>
      </c>
    </row>
    <row r="112" spans="1:25" ht="15" x14ac:dyDescent="0.15">
      <c r="A112" s="50" t="s">
        <v>403</v>
      </c>
      <c r="B112" s="11" t="s">
        <v>407</v>
      </c>
      <c r="C112" s="12" t="s">
        <v>342</v>
      </c>
      <c r="F112" s="33">
        <v>500</v>
      </c>
      <c r="I112" s="33">
        <v>500</v>
      </c>
      <c r="J112" s="49">
        <v>0.1</v>
      </c>
      <c r="L112">
        <f>L111*1.02</f>
        <v>2423007281.8157973</v>
      </c>
      <c r="M112">
        <f t="shared" ref="M112:N112" si="92">M111*1.02</f>
        <v>19626.358982707963</v>
      </c>
      <c r="N112">
        <f t="shared" si="92"/>
        <v>9692029127.2631893</v>
      </c>
      <c r="O112" s="53">
        <f t="shared" ref="O112:X114" si="93">O111</f>
        <v>30000</v>
      </c>
      <c r="P112" s="53">
        <f t="shared" si="93"/>
        <v>420</v>
      </c>
      <c r="Q112" s="53">
        <f t="shared" si="93"/>
        <v>0.75</v>
      </c>
      <c r="R112" s="53">
        <f t="shared" si="93"/>
        <v>22077.619200000001</v>
      </c>
      <c r="S112" s="53">
        <f t="shared" si="93"/>
        <v>100</v>
      </c>
      <c r="T112" s="53">
        <f t="shared" si="93"/>
        <v>200</v>
      </c>
      <c r="U112" s="53">
        <f t="shared" si="93"/>
        <v>150</v>
      </c>
      <c r="V112" s="53">
        <v>20</v>
      </c>
      <c r="W112" s="53">
        <v>4500</v>
      </c>
      <c r="X112" s="53">
        <f t="shared" si="93"/>
        <v>20</v>
      </c>
      <c r="Y112" s="42">
        <v>500</v>
      </c>
    </row>
    <row r="113" spans="1:25" ht="15" x14ac:dyDescent="0.15">
      <c r="A113" s="50" t="s">
        <v>404</v>
      </c>
      <c r="B113" s="11" t="s">
        <v>408</v>
      </c>
      <c r="C113" s="12" t="s">
        <v>342</v>
      </c>
      <c r="F113" s="33">
        <v>500</v>
      </c>
      <c r="I113" s="33">
        <v>500</v>
      </c>
      <c r="J113" s="49">
        <v>0.1</v>
      </c>
      <c r="L113">
        <f t="shared" ref="L113:L114" si="94">L112*1.02</f>
        <v>2471467427.4521132</v>
      </c>
      <c r="M113">
        <f t="shared" ref="M113:M114" si="95">M112*1.02</f>
        <v>20018.886162362123</v>
      </c>
      <c r="N113">
        <f t="shared" ref="N113:N114" si="96">N112*1.02</f>
        <v>9885869709.8084526</v>
      </c>
      <c r="O113" s="53">
        <f t="shared" si="93"/>
        <v>30000</v>
      </c>
      <c r="P113" s="53">
        <f t="shared" si="93"/>
        <v>420</v>
      </c>
      <c r="Q113" s="53">
        <f t="shared" si="93"/>
        <v>0.75</v>
      </c>
      <c r="R113" s="53">
        <f t="shared" si="93"/>
        <v>22077.619200000001</v>
      </c>
      <c r="S113" s="53">
        <f t="shared" si="93"/>
        <v>100</v>
      </c>
      <c r="T113" s="53">
        <f t="shared" si="93"/>
        <v>200</v>
      </c>
      <c r="U113" s="53">
        <f t="shared" si="93"/>
        <v>150</v>
      </c>
      <c r="V113" s="53">
        <v>20</v>
      </c>
      <c r="W113" s="53">
        <v>4500</v>
      </c>
      <c r="X113" s="53">
        <f t="shared" si="93"/>
        <v>20</v>
      </c>
      <c r="Y113" s="42">
        <v>500</v>
      </c>
    </row>
    <row r="114" spans="1:25" ht="15" x14ac:dyDescent="0.15">
      <c r="A114" s="50" t="s">
        <v>405</v>
      </c>
      <c r="B114" s="11" t="s">
        <v>409</v>
      </c>
      <c r="C114" s="12" t="s">
        <v>342</v>
      </c>
      <c r="F114" s="33">
        <v>500</v>
      </c>
      <c r="I114" s="33">
        <v>500</v>
      </c>
      <c r="J114" s="49">
        <v>0.1</v>
      </c>
      <c r="L114">
        <f t="shared" si="94"/>
        <v>2520896776.0011554</v>
      </c>
      <c r="M114">
        <f t="shared" si="95"/>
        <v>20419.263885609365</v>
      </c>
      <c r="N114">
        <f t="shared" si="96"/>
        <v>10083587104.004622</v>
      </c>
      <c r="O114" s="53">
        <f t="shared" si="93"/>
        <v>30000</v>
      </c>
      <c r="P114" s="53">
        <f t="shared" si="93"/>
        <v>420</v>
      </c>
      <c r="Q114" s="53">
        <f t="shared" si="93"/>
        <v>0.75</v>
      </c>
      <c r="R114" s="53">
        <f t="shared" si="93"/>
        <v>22077.619200000001</v>
      </c>
      <c r="S114" s="53">
        <f t="shared" si="93"/>
        <v>100</v>
      </c>
      <c r="T114" s="53">
        <f t="shared" si="93"/>
        <v>200</v>
      </c>
      <c r="U114" s="53">
        <f t="shared" si="93"/>
        <v>150</v>
      </c>
      <c r="V114" s="53">
        <v>20</v>
      </c>
      <c r="W114" s="53">
        <v>4500</v>
      </c>
      <c r="X114" s="53">
        <f t="shared" si="93"/>
        <v>20</v>
      </c>
      <c r="Y114" s="42">
        <v>500</v>
      </c>
    </row>
  </sheetData>
  <phoneticPr fontId="6" type="noConversion"/>
  <conditionalFormatting sqref="A99">
    <cfRule type="duplicateValues" dxfId="2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2019-07-10T09:16:07Z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