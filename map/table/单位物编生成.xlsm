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9613697E-86B9-4222-A453-65623C30D735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99" i="29" l="1"/>
  <c r="X99" i="29"/>
  <c r="U99" i="29"/>
  <c r="S99" i="29"/>
  <c r="R99" i="29"/>
  <c r="Q99" i="29"/>
  <c r="P99" i="29"/>
  <c r="O99" i="29"/>
  <c r="N29" i="29" l="1"/>
  <c r="L43" i="29" l="1"/>
  <c r="L40" i="29" s="1"/>
  <c r="L44" i="29" s="1"/>
  <c r="L41" i="29" s="1"/>
  <c r="L45" i="29" s="1"/>
  <c r="L42" i="29" s="1"/>
  <c r="N39" i="29" l="1"/>
  <c r="N43" i="29" s="1"/>
  <c r="N40" i="29" s="1"/>
  <c r="N44" i="29" s="1"/>
  <c r="N41" i="29" s="1"/>
  <c r="N45" i="29" s="1"/>
  <c r="N42" i="29" s="1"/>
  <c r="N49" i="29" l="1"/>
  <c r="N51" i="29" s="1"/>
  <c r="N52" i="29" s="1"/>
  <c r="N53" i="29" s="1"/>
  <c r="N54" i="29" s="1"/>
  <c r="L49" i="29"/>
  <c r="L51" i="29" s="1"/>
  <c r="L52" i="29" s="1"/>
  <c r="L53" i="29" s="1"/>
  <c r="L54" i="29" s="1"/>
  <c r="L72" i="29" l="1"/>
  <c r="L55" i="29"/>
  <c r="N72" i="29"/>
  <c r="N55" i="29"/>
  <c r="L5" i="29"/>
  <c r="N5" i="29" s="1"/>
  <c r="N37" i="29" s="1"/>
  <c r="L37" i="29" l="1"/>
  <c r="N56" i="29"/>
  <c r="N57" i="29" s="1"/>
  <c r="N76" i="29"/>
  <c r="N79" i="29" s="1"/>
  <c r="L76" i="29"/>
  <c r="L79" i="29" s="1"/>
  <c r="L56" i="29"/>
  <c r="L57" i="29" s="1"/>
  <c r="N47" i="29"/>
  <c r="L47" i="29"/>
  <c r="L58" i="29" l="1"/>
  <c r="L59" i="29" s="1"/>
  <c r="L80" i="29"/>
  <c r="N58" i="29"/>
  <c r="N59" i="29" s="1"/>
  <c r="N80" i="29"/>
  <c r="N6" i="29"/>
  <c r="N7" i="29" s="1"/>
  <c r="N9" i="29" s="1"/>
  <c r="N10" i="29" s="1"/>
  <c r="N11" i="29" s="1"/>
  <c r="N12" i="29" s="1"/>
  <c r="N13" i="29" s="1"/>
  <c r="L6" i="29"/>
  <c r="L81" i="29" l="1"/>
  <c r="L60" i="29"/>
  <c r="L61" i="29" s="1"/>
  <c r="N30" i="29"/>
  <c r="N14" i="29"/>
  <c r="N15" i="29" s="1"/>
  <c r="N16" i="29" s="1"/>
  <c r="N17" i="29" s="1"/>
  <c r="N18" i="29" s="1"/>
  <c r="R18" i="29" s="1"/>
  <c r="R60" i="29" s="1"/>
  <c r="N81" i="29"/>
  <c r="N60" i="29"/>
  <c r="N61" i="29" s="1"/>
  <c r="L7" i="29"/>
  <c r="L9" i="29" s="1"/>
  <c r="L10" i="29" s="1"/>
  <c r="L11" i="29" s="1"/>
  <c r="L12" i="29" s="1"/>
  <c r="L13" i="29" s="1"/>
  <c r="L14" i="29" s="1"/>
  <c r="L15" i="29" s="1"/>
  <c r="L16" i="29" s="1"/>
  <c r="L17" i="29" s="1"/>
  <c r="L18" i="29" s="1"/>
  <c r="L19" i="29" s="1"/>
  <c r="L20" i="29" s="1"/>
  <c r="L21" i="29" s="1"/>
  <c r="L22" i="29" s="1"/>
  <c r="L23" i="29" s="1"/>
  <c r="L24" i="29" s="1"/>
  <c r="L25" i="29" s="1"/>
  <c r="L26" i="29" s="1"/>
  <c r="L27" i="29" s="1"/>
  <c r="L28" i="29" s="1"/>
  <c r="Y98" i="29"/>
  <c r="X98" i="29"/>
  <c r="U98" i="29"/>
  <c r="Q98" i="29"/>
  <c r="P98" i="29"/>
  <c r="O98" i="29"/>
  <c r="Y97" i="29"/>
  <c r="X97" i="29"/>
  <c r="U97" i="29"/>
  <c r="T97" i="29"/>
  <c r="Q97" i="29"/>
  <c r="P97" i="29"/>
  <c r="O97" i="29"/>
  <c r="Y96" i="29"/>
  <c r="X96" i="29"/>
  <c r="U96" i="29"/>
  <c r="Q96" i="29"/>
  <c r="P96" i="29"/>
  <c r="Y95" i="29"/>
  <c r="X95" i="29"/>
  <c r="U95" i="29"/>
  <c r="Q95" i="29"/>
  <c r="Y94" i="29"/>
  <c r="X94" i="29"/>
  <c r="Q94" i="29"/>
  <c r="Y93" i="29"/>
  <c r="X93" i="29"/>
  <c r="Q93" i="29"/>
  <c r="Y92" i="29"/>
  <c r="X92" i="29"/>
  <c r="U92" i="29"/>
  <c r="Q92" i="29"/>
  <c r="Y91" i="29"/>
  <c r="X91" i="29"/>
  <c r="Q91" i="29"/>
  <c r="Y90" i="29"/>
  <c r="X90" i="29"/>
  <c r="U90" i="29"/>
  <c r="Q90" i="29"/>
  <c r="Y89" i="29"/>
  <c r="X89" i="29"/>
  <c r="Q89" i="29"/>
  <c r="U88" i="29"/>
  <c r="T83" i="29"/>
  <c r="O82" i="29"/>
  <c r="S80" i="29"/>
  <c r="T77" i="29"/>
  <c r="P77" i="29"/>
  <c r="T73" i="29"/>
  <c r="U70" i="29"/>
  <c r="T70" i="29"/>
  <c r="P70" i="29"/>
  <c r="O70" i="29"/>
  <c r="U69" i="29"/>
  <c r="T69" i="29"/>
  <c r="S69" i="29"/>
  <c r="S92" i="29" s="1"/>
  <c r="P69" i="29"/>
  <c r="P92" i="29" s="1"/>
  <c r="O69" i="29"/>
  <c r="O92" i="29" s="1"/>
  <c r="U68" i="29"/>
  <c r="T68" i="29"/>
  <c r="P68" i="29"/>
  <c r="O68" i="29"/>
  <c r="L68" i="29"/>
  <c r="U67" i="29"/>
  <c r="T67" i="29"/>
  <c r="P67" i="29"/>
  <c r="O67" i="29"/>
  <c r="U66" i="29"/>
  <c r="T66" i="29"/>
  <c r="P66" i="29"/>
  <c r="O66" i="29"/>
  <c r="L66" i="29"/>
  <c r="U65" i="29"/>
  <c r="T65" i="29"/>
  <c r="T95" i="29" s="1"/>
  <c r="P65" i="29"/>
  <c r="P95" i="29" s="1"/>
  <c r="O65" i="29"/>
  <c r="O95" i="29" s="1"/>
  <c r="U64" i="29"/>
  <c r="U78" i="29" s="1"/>
  <c r="T64" i="29"/>
  <c r="T78" i="29" s="1"/>
  <c r="P64" i="29"/>
  <c r="P78" i="29" s="1"/>
  <c r="O64" i="29"/>
  <c r="O78" i="29" s="1"/>
  <c r="U63" i="29"/>
  <c r="U91" i="29" s="1"/>
  <c r="T63" i="29"/>
  <c r="T91" i="29" s="1"/>
  <c r="P63" i="29"/>
  <c r="P91" i="29" s="1"/>
  <c r="O63" i="29"/>
  <c r="O91" i="29" s="1"/>
  <c r="U62" i="29"/>
  <c r="T62" i="29"/>
  <c r="P62" i="29"/>
  <c r="O62" i="29"/>
  <c r="U61" i="29"/>
  <c r="U94" i="29" s="1"/>
  <c r="T61" i="29"/>
  <c r="T94" i="29" s="1"/>
  <c r="P61" i="29"/>
  <c r="P94" i="29" s="1"/>
  <c r="O61" i="29"/>
  <c r="O94" i="29" s="1"/>
  <c r="L94" i="29"/>
  <c r="U60" i="29"/>
  <c r="U74" i="29" s="1"/>
  <c r="T60" i="29"/>
  <c r="T88" i="29" s="1"/>
  <c r="P60" i="29"/>
  <c r="P74" i="29" s="1"/>
  <c r="O60" i="29"/>
  <c r="O88" i="29" s="1"/>
  <c r="U59" i="29"/>
  <c r="U87" i="29" s="1"/>
  <c r="T59" i="29"/>
  <c r="T90" i="29" s="1"/>
  <c r="P59" i="29"/>
  <c r="P87" i="29" s="1"/>
  <c r="O59" i="29"/>
  <c r="O87" i="29" s="1"/>
  <c r="L90" i="29"/>
  <c r="U58" i="29"/>
  <c r="U77" i="29" s="1"/>
  <c r="T58" i="29"/>
  <c r="T86" i="29" s="1"/>
  <c r="P58" i="29"/>
  <c r="P86" i="29" s="1"/>
  <c r="O58" i="29"/>
  <c r="O77" i="29" s="1"/>
  <c r="U57" i="29"/>
  <c r="U85" i="29" s="1"/>
  <c r="T57" i="29"/>
  <c r="T93" i="29" s="1"/>
  <c r="S57" i="29"/>
  <c r="S93" i="29" s="1"/>
  <c r="P57" i="29"/>
  <c r="P85" i="29" s="1"/>
  <c r="O57" i="29"/>
  <c r="O93" i="29" s="1"/>
  <c r="L93" i="29"/>
  <c r="U56" i="29"/>
  <c r="U84" i="29" s="1"/>
  <c r="T56" i="29"/>
  <c r="T84" i="29" s="1"/>
  <c r="P56" i="29"/>
  <c r="P84" i="29" s="1"/>
  <c r="O56" i="29"/>
  <c r="O84" i="29" s="1"/>
  <c r="U55" i="29"/>
  <c r="U83" i="29" s="1"/>
  <c r="T55" i="29"/>
  <c r="T89" i="29" s="1"/>
  <c r="P55" i="29"/>
  <c r="P73" i="29" s="1"/>
  <c r="O55" i="29"/>
  <c r="O73" i="29" s="1"/>
  <c r="U54" i="29"/>
  <c r="U82" i="29" s="1"/>
  <c r="T54" i="29"/>
  <c r="T82" i="29" s="1"/>
  <c r="P54" i="29"/>
  <c r="P82" i="29" s="1"/>
  <c r="O54" i="29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S52" i="29"/>
  <c r="P52" i="29"/>
  <c r="P80" i="29" s="1"/>
  <c r="O52" i="29"/>
  <c r="O80" i="29" s="1"/>
  <c r="U51" i="29"/>
  <c r="T51" i="29"/>
  <c r="T72" i="29" s="1"/>
  <c r="P51" i="29"/>
  <c r="P72" i="29" s="1"/>
  <c r="O51" i="29"/>
  <c r="O72" i="29" s="1"/>
  <c r="U50" i="29"/>
  <c r="T50" i="29"/>
  <c r="T79" i="29" s="1"/>
  <c r="P50" i="29"/>
  <c r="P79" i="29" s="1"/>
  <c r="O50" i="29"/>
  <c r="O79" i="29" s="1"/>
  <c r="U49" i="29"/>
  <c r="U75" i="29" s="1"/>
  <c r="T49" i="29"/>
  <c r="T75" i="29" s="1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O71" i="29" s="1"/>
  <c r="U47" i="29"/>
  <c r="T47" i="29"/>
  <c r="P47" i="29"/>
  <c r="O47" i="29"/>
  <c r="U46" i="29"/>
  <c r="T46" i="29"/>
  <c r="P46" i="29"/>
  <c r="O46" i="29"/>
  <c r="Y45" i="29"/>
  <c r="X45" i="29"/>
  <c r="U45" i="29"/>
  <c r="T45" i="29"/>
  <c r="Q45" i="29"/>
  <c r="P45" i="29"/>
  <c r="O45" i="29"/>
  <c r="Y44" i="29"/>
  <c r="X44" i="29"/>
  <c r="U44" i="29"/>
  <c r="T44" i="29"/>
  <c r="S44" i="29"/>
  <c r="Q44" i="29"/>
  <c r="P44" i="29"/>
  <c r="O44" i="29"/>
  <c r="Y43" i="29"/>
  <c r="X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S40" i="29"/>
  <c r="Q40" i="29"/>
  <c r="P40" i="29"/>
  <c r="O40" i="29"/>
  <c r="U39" i="29"/>
  <c r="T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U33" i="29"/>
  <c r="S33" i="29"/>
  <c r="U32" i="29"/>
  <c r="S32" i="29"/>
  <c r="U31" i="29"/>
  <c r="S31" i="29"/>
  <c r="U30" i="29"/>
  <c r="S30" i="29"/>
  <c r="U29" i="29"/>
  <c r="S29" i="29"/>
  <c r="S28" i="29"/>
  <c r="S70" i="29" s="1"/>
  <c r="S27" i="29"/>
  <c r="S26" i="29"/>
  <c r="S68" i="29" s="1"/>
  <c r="S25" i="29"/>
  <c r="S67" i="29" s="1"/>
  <c r="S24" i="29"/>
  <c r="S66" i="29" s="1"/>
  <c r="S23" i="29"/>
  <c r="S45" i="29" s="1"/>
  <c r="S22" i="29"/>
  <c r="S64" i="29" s="1"/>
  <c r="S78" i="29" s="1"/>
  <c r="S21" i="29"/>
  <c r="S63" i="29" s="1"/>
  <c r="S91" i="29" s="1"/>
  <c r="S20" i="29"/>
  <c r="S62" i="29" s="1"/>
  <c r="S19" i="29"/>
  <c r="S61" i="29" s="1"/>
  <c r="S94" i="29" s="1"/>
  <c r="S18" i="29"/>
  <c r="S42" i="29" s="1"/>
  <c r="S17" i="29"/>
  <c r="S59" i="29" s="1"/>
  <c r="S16" i="29"/>
  <c r="S41" i="29" s="1"/>
  <c r="S15" i="29"/>
  <c r="S14" i="29"/>
  <c r="S56" i="29" s="1"/>
  <c r="S84" i="29" s="1"/>
  <c r="S13" i="29"/>
  <c r="S55" i="29" s="1"/>
  <c r="R30" i="29"/>
  <c r="S12" i="29"/>
  <c r="S54" i="29" s="1"/>
  <c r="S82" i="29" s="1"/>
  <c r="S11" i="29"/>
  <c r="S53" i="29" s="1"/>
  <c r="S10" i="29"/>
  <c r="S38" i="29" s="1"/>
  <c r="R10" i="29"/>
  <c r="S9" i="29"/>
  <c r="S51" i="29" s="1"/>
  <c r="S72" i="29" s="1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S39" i="29" l="1"/>
  <c r="U86" i="29"/>
  <c r="R16" i="29"/>
  <c r="L67" i="29"/>
  <c r="O74" i="29"/>
  <c r="S85" i="29"/>
  <c r="N82" i="29"/>
  <c r="N62" i="29"/>
  <c r="N63" i="29" s="1"/>
  <c r="N73" i="29"/>
  <c r="L69" i="29"/>
  <c r="L96" i="29" s="1"/>
  <c r="O96" i="29"/>
  <c r="L73" i="29"/>
  <c r="L82" i="29"/>
  <c r="L62" i="29"/>
  <c r="L63" i="29" s="1"/>
  <c r="N31" i="29"/>
  <c r="R31" i="29" s="1"/>
  <c r="N19" i="29"/>
  <c r="N20" i="29" s="1"/>
  <c r="U89" i="29"/>
  <c r="U93" i="29"/>
  <c r="L29" i="29"/>
  <c r="L30" i="29" s="1"/>
  <c r="L31" i="29" s="1"/>
  <c r="L32" i="29" s="1"/>
  <c r="L33" i="29" s="1"/>
  <c r="L34" i="29" s="1"/>
  <c r="L70" i="29"/>
  <c r="R4" i="29"/>
  <c r="R35" i="29" s="1"/>
  <c r="R29" i="29"/>
  <c r="R6" i="29"/>
  <c r="R48" i="29" s="1"/>
  <c r="R71" i="29" s="1"/>
  <c r="L89" i="29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S60" i="29"/>
  <c r="T96" i="29"/>
  <c r="T92" i="29"/>
  <c r="O90" i="29"/>
  <c r="R5" i="29"/>
  <c r="R47" i="29" s="1"/>
  <c r="S46" i="29"/>
  <c r="S96" i="29"/>
  <c r="S97" i="29"/>
  <c r="N93" i="29"/>
  <c r="R15" i="29"/>
  <c r="R57" i="29" s="1"/>
  <c r="S36" i="29"/>
  <c r="T74" i="29"/>
  <c r="O76" i="29"/>
  <c r="O83" i="29"/>
  <c r="O85" i="29"/>
  <c r="O86" i="29"/>
  <c r="O89" i="29"/>
  <c r="L92" i="29"/>
  <c r="S98" i="29"/>
  <c r="R8" i="29"/>
  <c r="R13" i="29"/>
  <c r="R55" i="29" s="1"/>
  <c r="S50" i="29"/>
  <c r="S79" i="29" s="1"/>
  <c r="S65" i="29"/>
  <c r="S95" i="29" s="1"/>
  <c r="P76" i="29"/>
  <c r="P88" i="29"/>
  <c r="P93" i="29"/>
  <c r="P89" i="29"/>
  <c r="P83" i="29"/>
  <c r="T76" i="29"/>
  <c r="T87" i="29"/>
  <c r="R88" i="29"/>
  <c r="R74" i="29"/>
  <c r="R9" i="29"/>
  <c r="R51" i="29" s="1"/>
  <c r="R72" i="29" s="1"/>
  <c r="R14" i="29"/>
  <c r="R97" i="29"/>
  <c r="S43" i="29"/>
  <c r="N91" i="29"/>
  <c r="R42" i="29"/>
  <c r="R7" i="29"/>
  <c r="R49" i="29" s="1"/>
  <c r="R75" i="29" s="1"/>
  <c r="N94" i="29"/>
  <c r="R19" i="29"/>
  <c r="R61" i="29" s="1"/>
  <c r="R94" i="29" s="1"/>
  <c r="N90" i="29"/>
  <c r="R17" i="29"/>
  <c r="R59" i="29" s="1"/>
  <c r="S58" i="29"/>
  <c r="P90" i="29"/>
  <c r="U73" i="29"/>
  <c r="N21" i="29" l="1"/>
  <c r="R20" i="29"/>
  <c r="R62" i="29" s="1"/>
  <c r="L83" i="29"/>
  <c r="L64" i="29"/>
  <c r="L65" i="29" s="1"/>
  <c r="L77" i="29"/>
  <c r="L91" i="29"/>
  <c r="N83" i="29"/>
  <c r="N64" i="29"/>
  <c r="N65" i="29" s="1"/>
  <c r="N77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3" i="29"/>
  <c r="R85" i="29"/>
  <c r="R89" i="29"/>
  <c r="R73" i="29"/>
  <c r="R83" i="29"/>
  <c r="S86" i="29"/>
  <c r="S77" i="29"/>
  <c r="N89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L84" i="29" l="1"/>
  <c r="L85" i="29" s="1"/>
  <c r="L86" i="29" s="1"/>
  <c r="L87" i="29" s="1"/>
  <c r="L88" i="29" s="1"/>
  <c r="L74" i="29"/>
  <c r="L78" i="29"/>
  <c r="L95" i="29"/>
  <c r="N84" i="29"/>
  <c r="N85" i="29" s="1"/>
  <c r="N86" i="29" s="1"/>
  <c r="N87" i="29" s="1"/>
  <c r="N88" i="29" s="1"/>
  <c r="N78" i="29"/>
  <c r="N74" i="29"/>
  <c r="N95" i="29"/>
  <c r="N22" i="29"/>
  <c r="R21" i="29"/>
  <c r="R63" i="29" s="1"/>
  <c r="R91" i="29" s="1"/>
  <c r="R81" i="29"/>
  <c r="R39" i="29"/>
  <c r="N23" i="29" l="1"/>
  <c r="R22" i="29"/>
  <c r="R64" i="29" s="1"/>
  <c r="R78" i="29" s="1"/>
  <c r="N32" i="29" l="1"/>
  <c r="R32" i="29" s="1"/>
  <c r="N24" i="29"/>
  <c r="R23" i="29"/>
  <c r="R65" i="29" l="1"/>
  <c r="R95" i="29" s="1"/>
  <c r="R45" i="29"/>
  <c r="N25" i="29"/>
  <c r="R24" i="29"/>
  <c r="R66" i="29" s="1"/>
  <c r="N66" i="29"/>
  <c r="N26" i="29" l="1"/>
  <c r="N67" i="29"/>
  <c r="R25" i="29"/>
  <c r="R67" i="29" s="1"/>
  <c r="N27" i="29" l="1"/>
  <c r="R26" i="29"/>
  <c r="R68" i="29" s="1"/>
  <c r="N68" i="29"/>
  <c r="N28" i="29" l="1"/>
  <c r="N69" i="29"/>
  <c r="R27" i="29"/>
  <c r="R69" i="29" s="1"/>
  <c r="N33" i="29" l="1"/>
  <c r="R28" i="29"/>
  <c r="R70" i="29" s="1"/>
  <c r="N70" i="29"/>
  <c r="R96" i="29"/>
  <c r="R92" i="29"/>
  <c r="N96" i="29"/>
  <c r="N92" i="29"/>
  <c r="N34" i="29" l="1"/>
  <c r="R34" i="29" s="1"/>
  <c r="R33" i="29"/>
</calcChain>
</file>

<file path=xl/sharedStrings.xml><?xml version="1.0" encoding="utf-8"?>
<sst xmlns="http://schemas.openxmlformats.org/spreadsheetml/2006/main" count="759" uniqueCount="392">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</sst>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7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91" activePane="bottomRight" state="frozen"/>
      <selection pane="topRight"/>
      <selection pane="bottomLeft"/>
      <selection pane="bottomRight" activeCell="F113" sqref="F113"/>
    </sheetView>
  </sheetViews>
  <sheetFormatPr defaultColWidth="9" defaultRowHeight="13.5" x14ac:dyDescent="0.15"/>
  <cols>
    <col min="1" max="1" width="17.7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243</v>
      </c>
      <c r="C2" s="29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210</v>
      </c>
      <c r="G3" s="1" t="s">
        <v>370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350</v>
      </c>
      <c r="C4" s="31" t="s">
        <v>347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348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244</v>
      </c>
      <c r="B30" s="11" t="s">
        <v>132</v>
      </c>
      <c r="C30" s="31" t="s">
        <v>45</v>
      </c>
      <c r="D30" s="25" t="s">
        <v>233</v>
      </c>
      <c r="F30" s="2"/>
      <c r="G30" s="25">
        <v>2.2000000000000002</v>
      </c>
      <c r="I30" s="3">
        <v>60</v>
      </c>
    </row>
    <row r="31" spans="1:9" ht="15" x14ac:dyDescent="0.15">
      <c r="A31" s="30" t="s">
        <v>245</v>
      </c>
      <c r="B31" s="11" t="s">
        <v>133</v>
      </c>
      <c r="C31" s="31" t="s">
        <v>45</v>
      </c>
      <c r="D31" s="3" t="s">
        <v>234</v>
      </c>
      <c r="F31" s="2"/>
      <c r="G31" s="25">
        <v>2.2000000000000002</v>
      </c>
      <c r="I31" s="3">
        <v>60</v>
      </c>
    </row>
    <row r="32" spans="1:9" ht="15" x14ac:dyDescent="0.15">
      <c r="A32" s="34" t="s">
        <v>246</v>
      </c>
      <c r="B32" s="11" t="s">
        <v>134</v>
      </c>
      <c r="C32" s="31" t="s">
        <v>45</v>
      </c>
      <c r="D32" s="25" t="s">
        <v>236</v>
      </c>
      <c r="F32" s="2"/>
      <c r="G32" s="25">
        <v>4.8</v>
      </c>
      <c r="I32" s="3">
        <v>60</v>
      </c>
    </row>
    <row r="33" spans="1:9" ht="15" x14ac:dyDescent="0.15">
      <c r="A33" s="34" t="s">
        <v>368</v>
      </c>
      <c r="B33" s="11" t="s">
        <v>135</v>
      </c>
      <c r="C33" s="31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30" t="s">
        <v>367</v>
      </c>
      <c r="B34" s="11" t="s">
        <v>136</v>
      </c>
      <c r="C34" s="30" t="s">
        <v>373</v>
      </c>
      <c r="D34" s="3" t="s">
        <v>242</v>
      </c>
      <c r="F34" s="2"/>
      <c r="G34" s="3">
        <v>2.5</v>
      </c>
      <c r="I34" s="3">
        <v>60</v>
      </c>
    </row>
    <row r="35" spans="1:9" ht="15" x14ac:dyDescent="0.15">
      <c r="A35" s="30" t="s">
        <v>249</v>
      </c>
      <c r="B35" s="11" t="s">
        <v>137</v>
      </c>
      <c r="C35" s="30" t="s">
        <v>373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250</v>
      </c>
      <c r="B36" s="11" t="s">
        <v>138</v>
      </c>
      <c r="C36" s="30" t="s">
        <v>45</v>
      </c>
      <c r="D36" s="3" t="s">
        <v>241</v>
      </c>
      <c r="F36" s="2"/>
      <c r="G36" s="3">
        <v>1</v>
      </c>
      <c r="I36" s="3">
        <v>20</v>
      </c>
    </row>
    <row r="37" spans="1:9" ht="15" x14ac:dyDescent="0.15">
      <c r="A37" s="30" t="s">
        <v>251</v>
      </c>
      <c r="B37" s="11" t="s">
        <v>139</v>
      </c>
      <c r="C37" s="30" t="s">
        <v>45</v>
      </c>
      <c r="D37" s="3" t="s">
        <v>241</v>
      </c>
      <c r="F37" s="2"/>
      <c r="G37" s="3">
        <v>1.2</v>
      </c>
      <c r="I37" s="3">
        <v>20</v>
      </c>
    </row>
    <row r="38" spans="1:9" ht="15" x14ac:dyDescent="0.15">
      <c r="A38" s="30" t="s">
        <v>252</v>
      </c>
      <c r="B38" s="11" t="s">
        <v>140</v>
      </c>
      <c r="C38" s="30" t="s">
        <v>45</v>
      </c>
      <c r="D38" s="3" t="s">
        <v>241</v>
      </c>
      <c r="F38" s="2"/>
      <c r="G38" s="3">
        <v>1.4</v>
      </c>
      <c r="I38" s="3">
        <v>20</v>
      </c>
    </row>
    <row r="39" spans="1:9" ht="15" x14ac:dyDescent="0.15">
      <c r="A39" s="30" t="s">
        <v>253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254</v>
      </c>
      <c r="B40" s="11" t="s">
        <v>142</v>
      </c>
      <c r="C40" s="30" t="s">
        <v>50</v>
      </c>
      <c r="D40" s="3"/>
      <c r="F40" s="2"/>
      <c r="G40" s="3">
        <v>1.1000000000000001</v>
      </c>
      <c r="I40" s="3">
        <v>20</v>
      </c>
    </row>
    <row r="41" spans="1:9" ht="15" x14ac:dyDescent="0.15">
      <c r="A41" s="30" t="s">
        <v>255</v>
      </c>
      <c r="B41" s="11" t="s">
        <v>143</v>
      </c>
      <c r="C41" s="30" t="s">
        <v>50</v>
      </c>
      <c r="D41" s="3"/>
      <c r="F41" s="2"/>
      <c r="G41" s="3">
        <v>1.2</v>
      </c>
      <c r="I41" s="3">
        <v>20</v>
      </c>
    </row>
    <row r="42" spans="1:9" ht="15" x14ac:dyDescent="0.15">
      <c r="A42" s="30" t="s">
        <v>256</v>
      </c>
      <c r="B42" s="11" t="s">
        <v>144</v>
      </c>
      <c r="C42" s="30" t="s">
        <v>50</v>
      </c>
      <c r="D42" s="3"/>
      <c r="F42" s="2"/>
      <c r="G42" s="3">
        <v>1.3</v>
      </c>
      <c r="I42" s="3">
        <v>20</v>
      </c>
    </row>
    <row r="43" spans="1:9" ht="15" x14ac:dyDescent="0.15">
      <c r="A43" s="30" t="s">
        <v>257</v>
      </c>
      <c r="B43" s="11" t="s">
        <v>369</v>
      </c>
      <c r="C43" s="30" t="s">
        <v>349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258</v>
      </c>
      <c r="B44" s="11" t="s">
        <v>146</v>
      </c>
      <c r="C44" s="30" t="s">
        <v>349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259</v>
      </c>
      <c r="B45" s="11" t="s">
        <v>147</v>
      </c>
      <c r="C45" s="30" t="s">
        <v>349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260</v>
      </c>
      <c r="B46" s="11" t="s">
        <v>148</v>
      </c>
      <c r="C46" s="30" t="s">
        <v>45</v>
      </c>
      <c r="D46" s="3" t="s">
        <v>308</v>
      </c>
      <c r="F46" s="2"/>
      <c r="G46" s="3">
        <v>1.5</v>
      </c>
      <c r="I46" s="3">
        <v>60</v>
      </c>
    </row>
    <row r="47" spans="1:9" ht="15" x14ac:dyDescent="0.15">
      <c r="A47" s="30" t="s">
        <v>261</v>
      </c>
      <c r="B47" s="11" t="s">
        <v>149</v>
      </c>
      <c r="C47" s="30" t="s">
        <v>45</v>
      </c>
      <c r="D47" s="3" t="s">
        <v>309</v>
      </c>
      <c r="F47" s="2"/>
      <c r="G47" s="3">
        <v>2</v>
      </c>
      <c r="I47" s="3">
        <v>60</v>
      </c>
    </row>
    <row r="48" spans="1:9" ht="15" x14ac:dyDescent="0.15">
      <c r="A48" s="30" t="s">
        <v>262</v>
      </c>
      <c r="B48" s="11" t="s">
        <v>150</v>
      </c>
      <c r="C48" s="30" t="s">
        <v>45</v>
      </c>
      <c r="D48" s="3" t="s">
        <v>310</v>
      </c>
      <c r="F48" s="2"/>
      <c r="G48" s="3">
        <v>0.6</v>
      </c>
      <c r="I48" s="3">
        <v>60</v>
      </c>
    </row>
    <row r="49" spans="1:9" ht="15" x14ac:dyDescent="0.15">
      <c r="A49" s="30" t="s">
        <v>263</v>
      </c>
      <c r="B49" s="11" t="s">
        <v>151</v>
      </c>
      <c r="C49" s="30" t="s">
        <v>45</v>
      </c>
      <c r="D49" s="3" t="s">
        <v>311</v>
      </c>
      <c r="F49" s="2"/>
      <c r="G49" s="3">
        <v>2.2999999999999998</v>
      </c>
      <c r="I49" s="3">
        <v>60</v>
      </c>
    </row>
    <row r="50" spans="1:9" ht="15" x14ac:dyDescent="0.15">
      <c r="A50" s="30" t="s">
        <v>264</v>
      </c>
      <c r="B50" s="11" t="s">
        <v>152</v>
      </c>
      <c r="C50" s="30" t="s">
        <v>45</v>
      </c>
      <c r="D50" s="3" t="s">
        <v>312</v>
      </c>
      <c r="F50" s="2"/>
      <c r="G50" s="3">
        <v>0.6</v>
      </c>
      <c r="I50" s="3">
        <v>60</v>
      </c>
    </row>
    <row r="51" spans="1:9" ht="15" x14ac:dyDescent="0.15">
      <c r="A51" s="30" t="s">
        <v>265</v>
      </c>
      <c r="B51" s="11" t="s">
        <v>153</v>
      </c>
      <c r="C51" s="30" t="s">
        <v>45</v>
      </c>
      <c r="D51" s="3" t="s">
        <v>313</v>
      </c>
      <c r="F51" s="2"/>
      <c r="G51" s="3">
        <v>2.5</v>
      </c>
      <c r="I51" s="3">
        <v>60</v>
      </c>
    </row>
    <row r="52" spans="1:9" ht="15" x14ac:dyDescent="0.15">
      <c r="A52" s="30" t="s">
        <v>266</v>
      </c>
      <c r="B52" s="11" t="s">
        <v>154</v>
      </c>
      <c r="C52" s="30" t="s">
        <v>45</v>
      </c>
      <c r="D52" s="3" t="s">
        <v>314</v>
      </c>
      <c r="F52" s="2"/>
      <c r="G52" s="3">
        <v>2</v>
      </c>
      <c r="I52" s="3">
        <v>60</v>
      </c>
    </row>
    <row r="53" spans="1:9" ht="15" x14ac:dyDescent="0.15">
      <c r="A53" s="30" t="s">
        <v>267</v>
      </c>
      <c r="B53" s="11" t="s">
        <v>155</v>
      </c>
      <c r="C53" s="30" t="s">
        <v>45</v>
      </c>
      <c r="D53" s="3" t="s">
        <v>315</v>
      </c>
      <c r="F53" s="2"/>
      <c r="G53" s="3">
        <v>1.8</v>
      </c>
      <c r="I53" s="3">
        <v>60</v>
      </c>
    </row>
    <row r="54" spans="1:9" ht="15" x14ac:dyDescent="0.15">
      <c r="A54" s="30" t="s">
        <v>268</v>
      </c>
      <c r="B54" s="11" t="s">
        <v>156</v>
      </c>
      <c r="C54" s="30" t="s">
        <v>45</v>
      </c>
      <c r="D54" s="3" t="s">
        <v>316</v>
      </c>
      <c r="F54" s="2"/>
      <c r="G54" s="3">
        <v>1.4</v>
      </c>
      <c r="I54" s="3">
        <v>60</v>
      </c>
    </row>
    <row r="55" spans="1:9" ht="15" x14ac:dyDescent="0.15">
      <c r="A55" s="30" t="s">
        <v>269</v>
      </c>
      <c r="B55" s="11" t="s">
        <v>157</v>
      </c>
      <c r="C55" s="30" t="s">
        <v>45</v>
      </c>
      <c r="D55" s="3" t="s">
        <v>317</v>
      </c>
      <c r="F55" s="2"/>
      <c r="G55" s="3">
        <v>1.5</v>
      </c>
      <c r="I55" s="3">
        <v>60</v>
      </c>
    </row>
    <row r="56" spans="1:9" ht="15" x14ac:dyDescent="0.15">
      <c r="A56" s="30" t="s">
        <v>270</v>
      </c>
      <c r="B56" s="11" t="s">
        <v>158</v>
      </c>
      <c r="C56" s="30" t="s">
        <v>45</v>
      </c>
      <c r="D56" s="3" t="s">
        <v>318</v>
      </c>
      <c r="E56" s="1"/>
      <c r="F56" s="2"/>
      <c r="G56" s="3">
        <v>2.2000000000000002</v>
      </c>
      <c r="I56" s="3">
        <v>60</v>
      </c>
    </row>
    <row r="57" spans="1:9" ht="15" x14ac:dyDescent="0.15">
      <c r="A57" s="30" t="s">
        <v>271</v>
      </c>
      <c r="B57" s="11" t="s">
        <v>159</v>
      </c>
      <c r="C57" s="30" t="s">
        <v>45</v>
      </c>
      <c r="D57" s="3" t="s">
        <v>319</v>
      </c>
      <c r="E57" s="1"/>
      <c r="F57" s="2"/>
      <c r="G57" s="3">
        <v>2.2000000000000002</v>
      </c>
      <c r="I57" s="3">
        <v>60</v>
      </c>
    </row>
    <row r="58" spans="1:9" ht="15" x14ac:dyDescent="0.15">
      <c r="A58" s="30" t="s">
        <v>272</v>
      </c>
      <c r="B58" s="11" t="s">
        <v>160</v>
      </c>
      <c r="C58" s="30" t="s">
        <v>374</v>
      </c>
      <c r="D58" s="3" t="s">
        <v>320</v>
      </c>
      <c r="E58" s="2"/>
      <c r="F58" s="2"/>
      <c r="G58" s="3">
        <v>1.5</v>
      </c>
      <c r="I58" s="3">
        <v>60</v>
      </c>
    </row>
    <row r="59" spans="1:9" ht="15" x14ac:dyDescent="0.15">
      <c r="A59" s="30" t="s">
        <v>273</v>
      </c>
      <c r="B59" s="11" t="s">
        <v>161</v>
      </c>
      <c r="C59" s="30" t="s">
        <v>45</v>
      </c>
      <c r="D59" s="3" t="s">
        <v>321</v>
      </c>
      <c r="F59" s="2"/>
      <c r="G59" s="3">
        <v>1.5</v>
      </c>
      <c r="I59" s="3">
        <v>60</v>
      </c>
    </row>
    <row r="60" spans="1:9" ht="15" x14ac:dyDescent="0.15">
      <c r="A60" s="30" t="s">
        <v>274</v>
      </c>
      <c r="B60" s="11" t="s">
        <v>162</v>
      </c>
      <c r="C60" s="30" t="s">
        <v>45</v>
      </c>
      <c r="D60" s="3" t="s">
        <v>375</v>
      </c>
      <c r="F60" s="2"/>
      <c r="G60" s="3">
        <v>1.6</v>
      </c>
      <c r="I60" s="3">
        <v>60</v>
      </c>
    </row>
    <row r="61" spans="1:9" ht="15" x14ac:dyDescent="0.15">
      <c r="A61" s="30" t="s">
        <v>275</v>
      </c>
      <c r="B61" s="11" t="s">
        <v>163</v>
      </c>
      <c r="C61" s="30" t="s">
        <v>45</v>
      </c>
      <c r="D61" s="3" t="s">
        <v>376</v>
      </c>
      <c r="F61" s="2"/>
      <c r="G61" s="3">
        <v>2.2000000000000002</v>
      </c>
      <c r="I61" s="3">
        <v>60</v>
      </c>
    </row>
    <row r="62" spans="1:9" ht="15" x14ac:dyDescent="0.15">
      <c r="A62" s="30" t="s">
        <v>276</v>
      </c>
      <c r="B62" s="11" t="s">
        <v>164</v>
      </c>
      <c r="C62" s="30" t="s">
        <v>374</v>
      </c>
      <c r="D62" s="3" t="s">
        <v>322</v>
      </c>
      <c r="F62" s="2"/>
      <c r="G62" s="3">
        <v>1.1000000000000001</v>
      </c>
      <c r="I62" s="3">
        <v>60</v>
      </c>
    </row>
    <row r="63" spans="1:9" ht="15" x14ac:dyDescent="0.15">
      <c r="A63" s="30" t="s">
        <v>277</v>
      </c>
      <c r="B63" s="11" t="s">
        <v>165</v>
      </c>
      <c r="C63" s="30" t="s">
        <v>45</v>
      </c>
      <c r="D63" s="3" t="s">
        <v>323</v>
      </c>
      <c r="F63" s="2"/>
      <c r="G63" s="3">
        <v>0.5</v>
      </c>
      <c r="I63" s="3">
        <v>60</v>
      </c>
    </row>
    <row r="64" spans="1:9" ht="15" x14ac:dyDescent="0.15">
      <c r="A64" s="30" t="s">
        <v>278</v>
      </c>
      <c r="B64" s="11" t="s">
        <v>166</v>
      </c>
      <c r="C64" s="30" t="s">
        <v>45</v>
      </c>
      <c r="D64" s="3" t="s">
        <v>324</v>
      </c>
      <c r="F64" s="2"/>
      <c r="G64" s="3">
        <v>0.5</v>
      </c>
      <c r="I64" s="3">
        <v>60</v>
      </c>
    </row>
    <row r="65" spans="1:9" ht="15" x14ac:dyDescent="0.15">
      <c r="A65" s="30" t="s">
        <v>279</v>
      </c>
      <c r="B65" s="11" t="s">
        <v>167</v>
      </c>
      <c r="C65" s="30" t="s">
        <v>45</v>
      </c>
      <c r="D65" s="3" t="s">
        <v>325</v>
      </c>
      <c r="F65" s="2"/>
      <c r="G65" s="3">
        <v>2</v>
      </c>
      <c r="I65" s="3">
        <v>60</v>
      </c>
    </row>
    <row r="66" spans="1:9" ht="15" x14ac:dyDescent="0.15">
      <c r="A66" s="30" t="s">
        <v>280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280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280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280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280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281</v>
      </c>
      <c r="B71" s="11" t="s">
        <v>173</v>
      </c>
      <c r="C71" s="30" t="s">
        <v>45</v>
      </c>
      <c r="D71" s="3" t="s">
        <v>326</v>
      </c>
      <c r="F71" s="2"/>
      <c r="G71" s="3">
        <v>1.3</v>
      </c>
      <c r="I71" s="3">
        <v>60</v>
      </c>
    </row>
    <row r="72" spans="1:9" ht="15" x14ac:dyDescent="0.15">
      <c r="A72" s="30" t="s">
        <v>282</v>
      </c>
      <c r="B72" s="11" t="s">
        <v>174</v>
      </c>
      <c r="C72" s="30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30" t="s">
        <v>283</v>
      </c>
      <c r="B73" s="11" t="s">
        <v>175</v>
      </c>
      <c r="C73" s="30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30" t="s">
        <v>284</v>
      </c>
      <c r="B74" s="11" t="s">
        <v>176</v>
      </c>
      <c r="C74" s="30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30" t="s">
        <v>285</v>
      </c>
      <c r="B75" s="11" t="s">
        <v>177</v>
      </c>
      <c r="C75" s="30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30" t="s">
        <v>286</v>
      </c>
      <c r="B76" s="11" t="s">
        <v>178</v>
      </c>
      <c r="C76" s="30" t="s">
        <v>45</v>
      </c>
      <c r="D76" s="3" t="s">
        <v>327</v>
      </c>
      <c r="F76" s="2"/>
      <c r="G76" s="3">
        <v>0.4</v>
      </c>
      <c r="I76" s="3">
        <v>60</v>
      </c>
    </row>
    <row r="77" spans="1:9" ht="15" x14ac:dyDescent="0.15">
      <c r="A77" s="30" t="s">
        <v>287</v>
      </c>
      <c r="B77" s="11" t="s">
        <v>179</v>
      </c>
      <c r="C77" s="30" t="s">
        <v>45</v>
      </c>
      <c r="D77" s="3" t="s">
        <v>328</v>
      </c>
      <c r="F77" s="2"/>
      <c r="G77" s="3">
        <v>2</v>
      </c>
      <c r="I77" s="3">
        <v>60</v>
      </c>
    </row>
    <row r="78" spans="1:9" ht="15" x14ac:dyDescent="0.15">
      <c r="A78" s="30" t="s">
        <v>288</v>
      </c>
      <c r="B78" s="11" t="s">
        <v>180</v>
      </c>
      <c r="C78" s="30" t="s">
        <v>45</v>
      </c>
      <c r="D78" s="3" t="s">
        <v>329</v>
      </c>
      <c r="F78" s="2"/>
      <c r="G78" s="3">
        <v>2.5</v>
      </c>
      <c r="I78" s="3">
        <v>60</v>
      </c>
    </row>
    <row r="79" spans="1:9" ht="15" x14ac:dyDescent="0.15">
      <c r="A79" s="30" t="s">
        <v>289</v>
      </c>
      <c r="B79" s="11" t="s">
        <v>181</v>
      </c>
      <c r="C79" s="30" t="s">
        <v>45</v>
      </c>
      <c r="D79" s="3" t="s">
        <v>380</v>
      </c>
      <c r="F79" s="2"/>
      <c r="G79" s="3">
        <v>2.2000000000000002</v>
      </c>
      <c r="I79" s="3">
        <v>60</v>
      </c>
    </row>
    <row r="80" spans="1:9" ht="15" x14ac:dyDescent="0.15">
      <c r="A80" s="30" t="s">
        <v>290</v>
      </c>
      <c r="B80" s="11" t="s">
        <v>182</v>
      </c>
      <c r="C80" s="30" t="s">
        <v>45</v>
      </c>
      <c r="D80" s="3" t="s">
        <v>330</v>
      </c>
      <c r="F80" s="2"/>
      <c r="G80" s="3">
        <v>1</v>
      </c>
      <c r="I80" s="3">
        <v>60</v>
      </c>
    </row>
    <row r="81" spans="1:9" ht="15" x14ac:dyDescent="0.15">
      <c r="A81" s="30" t="s">
        <v>291</v>
      </c>
      <c r="B81" s="11" t="s">
        <v>183</v>
      </c>
      <c r="C81" s="30" t="s">
        <v>45</v>
      </c>
      <c r="D81" s="3" t="s">
        <v>331</v>
      </c>
      <c r="F81" s="2"/>
      <c r="G81" s="3">
        <v>1.7</v>
      </c>
      <c r="I81" s="3">
        <v>60</v>
      </c>
    </row>
    <row r="82" spans="1:9" ht="15" x14ac:dyDescent="0.15">
      <c r="A82" s="30" t="s">
        <v>292</v>
      </c>
      <c r="B82" s="11" t="s">
        <v>184</v>
      </c>
      <c r="C82" s="30" t="s">
        <v>45</v>
      </c>
      <c r="D82" s="26" t="s">
        <v>333</v>
      </c>
      <c r="F82" s="2"/>
      <c r="G82" s="3">
        <v>2.1</v>
      </c>
      <c r="I82" s="3">
        <v>60</v>
      </c>
    </row>
    <row r="83" spans="1:9" ht="15" x14ac:dyDescent="0.15">
      <c r="A83" s="30" t="s">
        <v>293</v>
      </c>
      <c r="B83" s="11" t="s">
        <v>185</v>
      </c>
      <c r="C83" s="30" t="s">
        <v>45</v>
      </c>
      <c r="D83" s="3" t="s">
        <v>332</v>
      </c>
      <c r="F83" s="2"/>
      <c r="G83" s="3">
        <v>2.1</v>
      </c>
      <c r="I83" s="3">
        <v>60</v>
      </c>
    </row>
    <row r="84" spans="1:9" ht="15" x14ac:dyDescent="0.15">
      <c r="A84" s="30" t="s">
        <v>294</v>
      </c>
      <c r="B84" s="11" t="s">
        <v>186</v>
      </c>
      <c r="C84" s="30" t="s">
        <v>379</v>
      </c>
      <c r="D84" s="3" t="s">
        <v>335</v>
      </c>
      <c r="G84" s="3">
        <v>1.6</v>
      </c>
      <c r="I84" s="3">
        <v>60</v>
      </c>
    </row>
    <row r="85" spans="1:9" ht="15" x14ac:dyDescent="0.15">
      <c r="A85" s="30" t="s">
        <v>295</v>
      </c>
      <c r="B85" s="11" t="s">
        <v>215</v>
      </c>
      <c r="C85" s="30" t="s">
        <v>45</v>
      </c>
      <c r="D85" s="3" t="s">
        <v>334</v>
      </c>
      <c r="F85" s="2"/>
      <c r="G85" s="3">
        <v>2</v>
      </c>
      <c r="I85" s="3">
        <v>60</v>
      </c>
    </row>
    <row r="86" spans="1:9" ht="15" x14ac:dyDescent="0.15">
      <c r="A86" s="30" t="s">
        <v>296</v>
      </c>
      <c r="B86" s="11" t="s">
        <v>216</v>
      </c>
      <c r="C86" s="30" t="s">
        <v>45</v>
      </c>
      <c r="D86" s="3" t="s">
        <v>337</v>
      </c>
      <c r="G86" s="3">
        <v>1.5</v>
      </c>
      <c r="I86" s="3">
        <v>60</v>
      </c>
    </row>
    <row r="87" spans="1:9" ht="15" x14ac:dyDescent="0.15">
      <c r="A87" s="30" t="s">
        <v>297</v>
      </c>
      <c r="B87" s="11" t="s">
        <v>217</v>
      </c>
      <c r="C87" s="30" t="s">
        <v>45</v>
      </c>
      <c r="D87" s="3" t="s">
        <v>336</v>
      </c>
      <c r="G87" s="3">
        <v>1.5</v>
      </c>
      <c r="I87" s="3">
        <v>60</v>
      </c>
    </row>
    <row r="88" spans="1:9" ht="15" x14ac:dyDescent="0.15">
      <c r="A88" s="30" t="s">
        <v>298</v>
      </c>
      <c r="B88" s="11" t="s">
        <v>220</v>
      </c>
      <c r="C88" s="30" t="s">
        <v>45</v>
      </c>
      <c r="D88" s="3" t="s">
        <v>363</v>
      </c>
      <c r="G88" s="3">
        <v>1.1000000000000001</v>
      </c>
      <c r="I88" s="3">
        <v>60</v>
      </c>
    </row>
    <row r="89" spans="1:9" ht="15" x14ac:dyDescent="0.15">
      <c r="A89" s="54" t="s">
        <v>381</v>
      </c>
      <c r="B89" s="11" t="s">
        <v>221</v>
      </c>
      <c r="C89" s="30" t="s">
        <v>45</v>
      </c>
      <c r="D89" s="3" t="s">
        <v>338</v>
      </c>
      <c r="G89" s="3">
        <v>1</v>
      </c>
      <c r="I89" s="3">
        <v>60</v>
      </c>
    </row>
    <row r="90" spans="1:9" ht="15" x14ac:dyDescent="0.15">
      <c r="A90" s="54" t="s">
        <v>382</v>
      </c>
      <c r="B90" s="11" t="s">
        <v>222</v>
      </c>
      <c r="C90" s="30" t="s">
        <v>45</v>
      </c>
      <c r="D90" s="3" t="s">
        <v>339</v>
      </c>
      <c r="G90" s="3">
        <v>1</v>
      </c>
      <c r="I90" s="3">
        <v>60</v>
      </c>
    </row>
    <row r="91" spans="1:9" ht="15" x14ac:dyDescent="0.15">
      <c r="A91" s="54" t="s">
        <v>383</v>
      </c>
      <c r="B91" s="11" t="s">
        <v>223</v>
      </c>
      <c r="C91" s="30" t="s">
        <v>45</v>
      </c>
      <c r="D91" s="3" t="s">
        <v>340</v>
      </c>
      <c r="G91" s="3">
        <v>1</v>
      </c>
      <c r="I91" s="3">
        <v>60</v>
      </c>
    </row>
    <row r="92" spans="1:9" ht="15" x14ac:dyDescent="0.15">
      <c r="A92" s="54" t="s">
        <v>384</v>
      </c>
      <c r="B92" s="11" t="s">
        <v>224</v>
      </c>
      <c r="C92" s="30" t="s">
        <v>45</v>
      </c>
      <c r="D92" s="3" t="s">
        <v>341</v>
      </c>
      <c r="G92" s="3">
        <v>1</v>
      </c>
      <c r="I92" s="3">
        <v>60</v>
      </c>
    </row>
    <row r="93" spans="1:9" ht="15" x14ac:dyDescent="0.15">
      <c r="A93" s="54" t="s">
        <v>385</v>
      </c>
      <c r="B93" s="11" t="s">
        <v>225</v>
      </c>
      <c r="C93" s="30" t="s">
        <v>45</v>
      </c>
      <c r="D93" s="3" t="s">
        <v>342</v>
      </c>
      <c r="G93" s="3">
        <v>1</v>
      </c>
      <c r="I93" s="3">
        <v>60</v>
      </c>
    </row>
    <row r="94" spans="1:9" ht="15" x14ac:dyDescent="0.15">
      <c r="A94" s="54" t="s">
        <v>386</v>
      </c>
      <c r="B94" s="11" t="s">
        <v>226</v>
      </c>
      <c r="C94" s="30" t="s">
        <v>45</v>
      </c>
      <c r="D94" s="26" t="s">
        <v>343</v>
      </c>
      <c r="G94" s="3">
        <v>1</v>
      </c>
      <c r="I94" s="3">
        <v>60</v>
      </c>
    </row>
    <row r="95" spans="1:9" ht="15" x14ac:dyDescent="0.15">
      <c r="A95" s="54" t="s">
        <v>387</v>
      </c>
      <c r="B95" s="11" t="s">
        <v>227</v>
      </c>
      <c r="C95" s="30" t="s">
        <v>45</v>
      </c>
      <c r="D95" s="26" t="s">
        <v>344</v>
      </c>
      <c r="G95" s="3">
        <v>1</v>
      </c>
      <c r="I95" s="3">
        <v>60</v>
      </c>
    </row>
    <row r="96" spans="1:9" ht="15" x14ac:dyDescent="0.15">
      <c r="A96" s="54" t="s">
        <v>388</v>
      </c>
      <c r="B96" s="11" t="s">
        <v>228</v>
      </c>
      <c r="C96" s="30" t="s">
        <v>45</v>
      </c>
      <c r="D96" s="26" t="s">
        <v>345</v>
      </c>
      <c r="G96" s="3">
        <v>1</v>
      </c>
      <c r="I96" s="3">
        <v>60</v>
      </c>
    </row>
    <row r="97" spans="1:9" ht="15" x14ac:dyDescent="0.15">
      <c r="A97" s="30" t="s">
        <v>307</v>
      </c>
      <c r="B97" s="11" t="s">
        <v>229</v>
      </c>
      <c r="C97" s="30" t="s">
        <v>45</v>
      </c>
      <c r="D97" s="26" t="s">
        <v>346</v>
      </c>
      <c r="G97" s="3">
        <v>1</v>
      </c>
      <c r="I97" s="3">
        <v>20</v>
      </c>
    </row>
    <row r="98" spans="1:9" ht="15" x14ac:dyDescent="0.15">
      <c r="A98" s="3" t="s">
        <v>351</v>
      </c>
      <c r="B98" s="11" t="s">
        <v>352</v>
      </c>
      <c r="C98" s="30" t="s">
        <v>45</v>
      </c>
      <c r="D98" s="26" t="s">
        <v>377</v>
      </c>
      <c r="G98" s="3">
        <v>1.5</v>
      </c>
      <c r="I98" s="3">
        <v>60</v>
      </c>
    </row>
    <row r="99" spans="1:9" ht="15" x14ac:dyDescent="0.15">
      <c r="A99" s="55" t="s">
        <v>389</v>
      </c>
      <c r="B99" s="11" t="s">
        <v>390</v>
      </c>
      <c r="C99" s="29" t="s">
        <v>391</v>
      </c>
      <c r="G99" s="3">
        <v>1</v>
      </c>
      <c r="I99" s="3">
        <v>20</v>
      </c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4" priority="3"/>
  </conditionalFormatting>
  <conditionalFormatting sqref="D98">
    <cfRule type="duplicateValues" dxfId="3" priority="1"/>
  </conditionalFormatting>
  <conditionalFormatting sqref="D4:D97">
    <cfRule type="duplicateValues" dxfId="2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9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opLeftCell="D1" workbookViewId="0">
      <pane ySplit="3" topLeftCell="A91" activePane="bottomLeft" state="frozen"/>
      <selection activeCell="D1" sqref="D1"/>
      <selection pane="bottomLeft" activeCell="K114" sqref="K114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360</v>
      </c>
      <c r="L1" s="12" t="s">
        <v>362</v>
      </c>
      <c r="M1" s="12" t="s">
        <v>362</v>
      </c>
      <c r="N1" s="12" t="s">
        <v>362</v>
      </c>
      <c r="O1" s="12" t="s">
        <v>362</v>
      </c>
      <c r="P1" s="12" t="s">
        <v>362</v>
      </c>
      <c r="Q1" s="12" t="s">
        <v>362</v>
      </c>
      <c r="R1" s="12" t="s">
        <v>362</v>
      </c>
      <c r="S1" s="12" t="s">
        <v>362</v>
      </c>
      <c r="T1" s="12" t="s">
        <v>362</v>
      </c>
      <c r="U1" s="12" t="s">
        <v>362</v>
      </c>
      <c r="V1" s="12" t="s">
        <v>362</v>
      </c>
      <c r="W1" s="12" t="s">
        <v>362</v>
      </c>
      <c r="X1" s="12" t="s">
        <v>362</v>
      </c>
      <c r="Y1" s="12" t="s">
        <v>362</v>
      </c>
      <c r="Z1" s="6" t="s">
        <v>361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354</v>
      </c>
      <c r="H2" s="13" t="s">
        <v>355</v>
      </c>
      <c r="I2" s="12" t="s">
        <v>200</v>
      </c>
      <c r="J2" s="48" t="s">
        <v>201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364</v>
      </c>
      <c r="D3" s="1" t="s">
        <v>218</v>
      </c>
      <c r="E3" s="23" t="s">
        <v>197</v>
      </c>
      <c r="F3" s="7" t="s">
        <v>187</v>
      </c>
      <c r="G3" s="8" t="s">
        <v>356</v>
      </c>
      <c r="H3" s="8" t="s">
        <v>357</v>
      </c>
      <c r="I3" s="7" t="s">
        <v>188</v>
      </c>
      <c r="J3" s="49" t="s">
        <v>378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42" t="s">
        <v>371</v>
      </c>
      <c r="W3" s="42" t="s">
        <v>372</v>
      </c>
      <c r="X3" s="42" t="s">
        <v>358</v>
      </c>
      <c r="Y3" s="42" t="s">
        <v>359</v>
      </c>
    </row>
    <row r="4" spans="1:26" ht="15" x14ac:dyDescent="0.15">
      <c r="A4" s="30" t="s">
        <v>36</v>
      </c>
      <c r="B4" s="11" t="s">
        <v>350</v>
      </c>
      <c r="C4" s="12" t="s">
        <v>353</v>
      </c>
      <c r="D4" s="13"/>
      <c r="E4" s="13">
        <v>1</v>
      </c>
      <c r="F4" s="37">
        <v>500</v>
      </c>
      <c r="G4" s="37"/>
      <c r="H4" s="37"/>
      <c r="I4" s="37">
        <v>500</v>
      </c>
      <c r="J4" s="50">
        <v>0.16600000000000001</v>
      </c>
      <c r="K4" s="38"/>
      <c r="L4" s="39">
        <v>20000</v>
      </c>
      <c r="M4" s="39">
        <v>10</v>
      </c>
      <c r="N4" s="39">
        <f t="shared" ref="N4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10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353</v>
      </c>
      <c r="D5" s="7"/>
      <c r="E5" s="7">
        <v>2</v>
      </c>
      <c r="F5" s="37">
        <v>500</v>
      </c>
      <c r="G5" s="37"/>
      <c r="H5" s="37"/>
      <c r="I5" s="37">
        <v>500</v>
      </c>
      <c r="J5" s="50">
        <v>0.33300000000000002</v>
      </c>
      <c r="K5" s="38"/>
      <c r="L5" s="39">
        <f>L4*10</f>
        <v>200000</v>
      </c>
      <c r="M5" s="39">
        <v>20</v>
      </c>
      <c r="N5" s="39">
        <f>L5*5</f>
        <v>1000000</v>
      </c>
      <c r="O5" s="39">
        <v>100</v>
      </c>
      <c r="P5" s="39">
        <v>350</v>
      </c>
      <c r="Q5" s="40">
        <v>1</v>
      </c>
      <c r="R5" s="39">
        <f t="shared" si="1"/>
        <v>100</v>
      </c>
      <c r="S5" s="39">
        <f t="shared" si="2"/>
        <v>1</v>
      </c>
      <c r="T5" s="41">
        <v>200</v>
      </c>
      <c r="U5" s="7">
        <v>20</v>
      </c>
      <c r="V5" s="46">
        <v>10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353</v>
      </c>
      <c r="D6" s="7"/>
      <c r="E6" s="13">
        <v>3</v>
      </c>
      <c r="F6" s="37">
        <v>500</v>
      </c>
      <c r="G6" s="37"/>
      <c r="H6" s="37"/>
      <c r="I6" s="37">
        <v>500</v>
      </c>
      <c r="J6" s="50">
        <v>0.5</v>
      </c>
      <c r="K6" s="38"/>
      <c r="L6" s="39">
        <f t="shared" ref="L6:L9" si="3">L5*2</f>
        <v>400000</v>
      </c>
      <c r="M6" s="39">
        <v>40</v>
      </c>
      <c r="N6" s="39">
        <f>N5*2</f>
        <v>2000000</v>
      </c>
      <c r="O6" s="39">
        <v>100</v>
      </c>
      <c r="P6" s="39">
        <v>350</v>
      </c>
      <c r="Q6" s="40">
        <v>1</v>
      </c>
      <c r="R6" s="39">
        <f t="shared" si="1"/>
        <v>200</v>
      </c>
      <c r="S6" s="39">
        <f t="shared" si="2"/>
        <v>1</v>
      </c>
      <c r="T6" s="41">
        <v>200</v>
      </c>
      <c r="U6" s="7">
        <v>30</v>
      </c>
      <c r="V6" s="46">
        <v>10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353</v>
      </c>
      <c r="D7" s="7"/>
      <c r="E7" s="7">
        <v>4</v>
      </c>
      <c r="F7" s="37">
        <v>500</v>
      </c>
      <c r="G7" s="37"/>
      <c r="H7" s="37"/>
      <c r="I7" s="37">
        <v>500</v>
      </c>
      <c r="J7" s="50">
        <v>0.66</v>
      </c>
      <c r="K7" s="38"/>
      <c r="L7" s="39">
        <f t="shared" si="3"/>
        <v>800000</v>
      </c>
      <c r="M7" s="39">
        <v>80</v>
      </c>
      <c r="N7" s="39">
        <f t="shared" ref="N7:N9" si="4">N6*2</f>
        <v>4000000</v>
      </c>
      <c r="O7" s="39">
        <v>1000</v>
      </c>
      <c r="P7" s="39">
        <v>350</v>
      </c>
      <c r="Q7" s="40">
        <v>1</v>
      </c>
      <c r="R7" s="39">
        <f t="shared" si="1"/>
        <v>400</v>
      </c>
      <c r="S7" s="39">
        <f t="shared" si="2"/>
        <v>10</v>
      </c>
      <c r="T7" s="41">
        <v>200</v>
      </c>
      <c r="U7" s="7">
        <v>40</v>
      </c>
      <c r="V7" s="46">
        <v>10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353</v>
      </c>
      <c r="D8" s="7"/>
      <c r="E8" s="13">
        <v>5</v>
      </c>
      <c r="F8" s="37">
        <v>500</v>
      </c>
      <c r="G8" s="37"/>
      <c r="H8" s="37"/>
      <c r="I8" s="37">
        <v>500</v>
      </c>
      <c r="J8" s="50">
        <v>0.83000000000000007</v>
      </c>
      <c r="K8" s="38"/>
      <c r="L8" s="43">
        <v>4000000</v>
      </c>
      <c r="M8" s="43">
        <v>160</v>
      </c>
      <c r="N8" s="43">
        <v>8000000</v>
      </c>
      <c r="O8" s="39">
        <v>1000</v>
      </c>
      <c r="P8" s="39">
        <v>350</v>
      </c>
      <c r="Q8" s="40">
        <v>1</v>
      </c>
      <c r="R8" s="39">
        <f t="shared" si="1"/>
        <v>800</v>
      </c>
      <c r="S8" s="39">
        <f t="shared" si="2"/>
        <v>10</v>
      </c>
      <c r="T8" s="41">
        <v>200</v>
      </c>
      <c r="U8" s="7">
        <v>50</v>
      </c>
      <c r="V8" s="46">
        <v>10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353</v>
      </c>
      <c r="D9" s="7"/>
      <c r="E9" s="7">
        <v>6</v>
      </c>
      <c r="F9" s="37">
        <v>500</v>
      </c>
      <c r="G9" s="37"/>
      <c r="H9" s="37"/>
      <c r="I9" s="37">
        <v>500</v>
      </c>
      <c r="J9" s="50">
        <v>1</v>
      </c>
      <c r="K9" s="38"/>
      <c r="L9" s="39">
        <f t="shared" si="3"/>
        <v>8000000</v>
      </c>
      <c r="M9" s="39">
        <v>320</v>
      </c>
      <c r="N9" s="39">
        <f t="shared" si="4"/>
        <v>16000000</v>
      </c>
      <c r="O9" s="39">
        <v>10000</v>
      </c>
      <c r="P9" s="39">
        <v>350</v>
      </c>
      <c r="Q9" s="40">
        <v>1</v>
      </c>
      <c r="R9" s="39">
        <f t="shared" si="1"/>
        <v>1600</v>
      </c>
      <c r="S9" s="39">
        <f t="shared" si="2"/>
        <v>100</v>
      </c>
      <c r="T9" s="41">
        <v>200</v>
      </c>
      <c r="U9" s="7">
        <v>60</v>
      </c>
      <c r="V9" s="46">
        <v>10</v>
      </c>
      <c r="W9" s="46">
        <v>400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353</v>
      </c>
      <c r="D10" s="7"/>
      <c r="E10" s="13">
        <v>7</v>
      </c>
      <c r="F10" s="37">
        <v>500</v>
      </c>
      <c r="G10" s="37"/>
      <c r="H10" s="37"/>
      <c r="I10" s="37">
        <v>500</v>
      </c>
      <c r="J10" s="50">
        <v>1.1600000000000001</v>
      </c>
      <c r="K10" s="38"/>
      <c r="L10" s="39">
        <f>L9*1.5</f>
        <v>12000000</v>
      </c>
      <c r="M10" s="39">
        <v>480</v>
      </c>
      <c r="N10" s="39">
        <f t="shared" ref="N10:N11" si="5">N9*1.5</f>
        <v>24000000</v>
      </c>
      <c r="O10" s="39">
        <v>10000</v>
      </c>
      <c r="P10" s="39">
        <v>350</v>
      </c>
      <c r="Q10" s="40">
        <v>1</v>
      </c>
      <c r="R10" s="39">
        <f t="shared" si="1"/>
        <v>2400</v>
      </c>
      <c r="S10" s="39">
        <f t="shared" si="2"/>
        <v>100</v>
      </c>
      <c r="T10" s="41">
        <v>200</v>
      </c>
      <c r="U10" s="7">
        <v>70</v>
      </c>
      <c r="V10" s="46">
        <v>10</v>
      </c>
      <c r="W10" s="46">
        <v>400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353</v>
      </c>
      <c r="D11" s="7"/>
      <c r="E11" s="7">
        <v>8</v>
      </c>
      <c r="F11" s="37">
        <v>500</v>
      </c>
      <c r="G11" s="37"/>
      <c r="H11" s="37"/>
      <c r="I11" s="37">
        <v>500</v>
      </c>
      <c r="J11" s="50">
        <v>1.33</v>
      </c>
      <c r="K11" s="38"/>
      <c r="L11" s="39">
        <f>L10*1.5</f>
        <v>18000000</v>
      </c>
      <c r="M11" s="39">
        <v>720</v>
      </c>
      <c r="N11" s="39">
        <f t="shared" si="5"/>
        <v>36000000</v>
      </c>
      <c r="O11" s="39">
        <v>10000</v>
      </c>
      <c r="P11" s="39">
        <v>350</v>
      </c>
      <c r="Q11" s="40">
        <v>1</v>
      </c>
      <c r="R11" s="39">
        <f t="shared" si="1"/>
        <v>3600</v>
      </c>
      <c r="S11" s="39">
        <f t="shared" si="2"/>
        <v>100</v>
      </c>
      <c r="T11" s="41">
        <v>200</v>
      </c>
      <c r="U11" s="7">
        <v>80</v>
      </c>
      <c r="V11" s="46">
        <v>10</v>
      </c>
      <c r="W11" s="46">
        <v>400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353</v>
      </c>
      <c r="D12" s="7"/>
      <c r="E12" s="13">
        <v>9</v>
      </c>
      <c r="F12" s="37">
        <v>500</v>
      </c>
      <c r="G12" s="37"/>
      <c r="H12" s="37"/>
      <c r="I12" s="37">
        <v>500</v>
      </c>
      <c r="J12" s="50">
        <v>1.5</v>
      </c>
      <c r="K12" s="38"/>
      <c r="L12" s="39">
        <f t="shared" ref="L12:N12" si="6">L11*1.5</f>
        <v>27000000</v>
      </c>
      <c r="M12" s="39">
        <v>1080</v>
      </c>
      <c r="N12" s="39">
        <f t="shared" si="6"/>
        <v>54000000</v>
      </c>
      <c r="O12" s="39">
        <v>10000</v>
      </c>
      <c r="P12" s="39">
        <v>350</v>
      </c>
      <c r="Q12" s="40">
        <v>1</v>
      </c>
      <c r="R12" s="39">
        <f t="shared" si="1"/>
        <v>5400</v>
      </c>
      <c r="S12" s="39">
        <f t="shared" si="2"/>
        <v>100</v>
      </c>
      <c r="T12" s="41">
        <v>200</v>
      </c>
      <c r="U12" s="7">
        <v>90</v>
      </c>
      <c r="V12" s="46">
        <v>10</v>
      </c>
      <c r="W12" s="46">
        <v>400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353</v>
      </c>
      <c r="D13" s="7"/>
      <c r="E13" s="7">
        <v>10</v>
      </c>
      <c r="F13" s="37">
        <v>500</v>
      </c>
      <c r="G13" s="37"/>
      <c r="H13" s="37"/>
      <c r="I13" s="37">
        <v>500</v>
      </c>
      <c r="J13" s="50">
        <v>1.6600000000000001</v>
      </c>
      <c r="K13" s="38"/>
      <c r="L13" s="39">
        <f>L12*1.3</f>
        <v>35100000</v>
      </c>
      <c r="M13" s="39">
        <v>1404</v>
      </c>
      <c r="N13" s="39">
        <f t="shared" ref="N13:N15" si="7">N12*1.3</f>
        <v>70200000</v>
      </c>
      <c r="O13" s="39">
        <v>10000</v>
      </c>
      <c r="P13" s="39">
        <v>350</v>
      </c>
      <c r="Q13" s="40">
        <v>1</v>
      </c>
      <c r="R13" s="39">
        <f t="shared" si="1"/>
        <v>7020</v>
      </c>
      <c r="S13" s="39">
        <f t="shared" si="2"/>
        <v>100</v>
      </c>
      <c r="T13" s="41">
        <v>200</v>
      </c>
      <c r="U13" s="7">
        <v>100</v>
      </c>
      <c r="V13" s="46">
        <v>10</v>
      </c>
      <c r="W13" s="46">
        <v>400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353</v>
      </c>
      <c r="D14" s="7"/>
      <c r="E14" s="13">
        <v>11</v>
      </c>
      <c r="F14" s="37">
        <v>500</v>
      </c>
      <c r="G14" s="37"/>
      <c r="H14" s="37"/>
      <c r="I14" s="37">
        <v>500</v>
      </c>
      <c r="J14" s="50">
        <v>1.6600000000000001</v>
      </c>
      <c r="K14" s="38"/>
      <c r="L14" s="39">
        <f t="shared" ref="L14:L15" si="8">L13*1.3</f>
        <v>45630000</v>
      </c>
      <c r="M14" s="39">
        <v>1825.2</v>
      </c>
      <c r="N14" s="39">
        <f t="shared" si="7"/>
        <v>91260000</v>
      </c>
      <c r="O14" s="39">
        <v>10000</v>
      </c>
      <c r="P14" s="39">
        <v>350</v>
      </c>
      <c r="Q14" s="40">
        <v>1</v>
      </c>
      <c r="R14" s="39">
        <f t="shared" si="1"/>
        <v>9126</v>
      </c>
      <c r="S14" s="39">
        <f t="shared" si="2"/>
        <v>100</v>
      </c>
      <c r="T14" s="41">
        <v>200</v>
      </c>
      <c r="U14" s="7">
        <v>110</v>
      </c>
      <c r="V14" s="46">
        <v>10</v>
      </c>
      <c r="W14" s="46">
        <v>800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353</v>
      </c>
      <c r="D15" s="7"/>
      <c r="E15" s="7">
        <v>12</v>
      </c>
      <c r="F15" s="37">
        <v>500</v>
      </c>
      <c r="G15" s="37"/>
      <c r="H15" s="37"/>
      <c r="I15" s="37">
        <v>500</v>
      </c>
      <c r="J15" s="50">
        <v>1.6600000000000001</v>
      </c>
      <c r="K15" s="38"/>
      <c r="L15" s="39">
        <f t="shared" si="8"/>
        <v>59319000</v>
      </c>
      <c r="M15" s="39">
        <v>2372.7600000000002</v>
      </c>
      <c r="N15" s="39">
        <f t="shared" si="7"/>
        <v>118638000</v>
      </c>
      <c r="O15" s="39">
        <v>10000</v>
      </c>
      <c r="P15" s="39">
        <v>350</v>
      </c>
      <c r="Q15" s="40">
        <v>1</v>
      </c>
      <c r="R15" s="39">
        <f t="shared" si="1"/>
        <v>11863.800000000001</v>
      </c>
      <c r="S15" s="39">
        <f t="shared" si="2"/>
        <v>100</v>
      </c>
      <c r="T15" s="41">
        <v>200</v>
      </c>
      <c r="U15" s="7">
        <v>120</v>
      </c>
      <c r="V15" s="46">
        <v>10</v>
      </c>
      <c r="W15" s="46">
        <v>800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353</v>
      </c>
      <c r="D16" s="7"/>
      <c r="E16" s="13">
        <v>13</v>
      </c>
      <c r="F16" s="37">
        <v>500</v>
      </c>
      <c r="G16" s="37"/>
      <c r="H16" s="37"/>
      <c r="I16" s="37">
        <v>500</v>
      </c>
      <c r="J16" s="50">
        <v>1.6600000000000001</v>
      </c>
      <c r="K16" s="38"/>
      <c r="L16" s="39">
        <f t="shared" ref="L16:N18" si="9">L15*1.2</f>
        <v>71182800</v>
      </c>
      <c r="M16" s="39">
        <v>2847.3120000000004</v>
      </c>
      <c r="N16" s="39">
        <f t="shared" si="9"/>
        <v>142365600</v>
      </c>
      <c r="O16" s="39">
        <v>10000</v>
      </c>
      <c r="P16" s="39">
        <v>350</v>
      </c>
      <c r="Q16" s="40">
        <v>1</v>
      </c>
      <c r="R16" s="39">
        <f t="shared" si="1"/>
        <v>14236.560000000001</v>
      </c>
      <c r="S16" s="39">
        <f t="shared" si="2"/>
        <v>100</v>
      </c>
      <c r="T16" s="41">
        <v>200</v>
      </c>
      <c r="U16" s="7">
        <v>130</v>
      </c>
      <c r="V16" s="46">
        <v>10</v>
      </c>
      <c r="W16" s="46">
        <v>800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353</v>
      </c>
      <c r="D17" s="7"/>
      <c r="E17" s="7">
        <v>14</v>
      </c>
      <c r="F17" s="37">
        <v>500</v>
      </c>
      <c r="G17" s="37"/>
      <c r="H17" s="37"/>
      <c r="I17" s="37">
        <v>500</v>
      </c>
      <c r="J17" s="50">
        <v>1.6600000000000001</v>
      </c>
      <c r="K17" s="38"/>
      <c r="L17" s="39">
        <f t="shared" si="9"/>
        <v>85419360</v>
      </c>
      <c r="M17" s="39">
        <v>3416.7744000000002</v>
      </c>
      <c r="N17" s="39">
        <f t="shared" ref="N17:N18" si="10">N16*1.2</f>
        <v>170838720</v>
      </c>
      <c r="O17" s="39">
        <v>10000</v>
      </c>
      <c r="P17" s="39">
        <v>350</v>
      </c>
      <c r="Q17" s="40">
        <v>1</v>
      </c>
      <c r="R17" s="39">
        <f t="shared" si="1"/>
        <v>17083.871999999999</v>
      </c>
      <c r="S17" s="39">
        <f t="shared" si="2"/>
        <v>100</v>
      </c>
      <c r="T17" s="41">
        <v>200</v>
      </c>
      <c r="U17" s="7">
        <v>140</v>
      </c>
      <c r="V17" s="46">
        <v>10</v>
      </c>
      <c r="W17" s="46">
        <v>800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353</v>
      </c>
      <c r="D18" s="7"/>
      <c r="E18" s="13">
        <v>15</v>
      </c>
      <c r="F18" s="37">
        <v>500</v>
      </c>
      <c r="G18" s="37"/>
      <c r="H18" s="37"/>
      <c r="I18" s="37">
        <v>500</v>
      </c>
      <c r="J18" s="50">
        <v>1.6600000000000001</v>
      </c>
      <c r="K18" s="38"/>
      <c r="L18" s="39">
        <f t="shared" si="9"/>
        <v>102503232</v>
      </c>
      <c r="M18" s="39">
        <v>4100.1292800000001</v>
      </c>
      <c r="N18" s="39">
        <f t="shared" si="10"/>
        <v>205006464</v>
      </c>
      <c r="O18" s="39">
        <v>10000</v>
      </c>
      <c r="P18" s="39">
        <v>350</v>
      </c>
      <c r="Q18" s="40">
        <v>1</v>
      </c>
      <c r="R18" s="39">
        <f t="shared" si="1"/>
        <v>20500.646400000001</v>
      </c>
      <c r="S18" s="39">
        <f t="shared" si="2"/>
        <v>100</v>
      </c>
      <c r="T18" s="41">
        <v>200</v>
      </c>
      <c r="U18" s="7">
        <v>150</v>
      </c>
      <c r="V18" s="46">
        <v>10</v>
      </c>
      <c r="W18" s="46">
        <v>800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353</v>
      </c>
      <c r="D19" s="7"/>
      <c r="E19" s="7">
        <v>16</v>
      </c>
      <c r="F19" s="37">
        <v>500</v>
      </c>
      <c r="G19" s="37"/>
      <c r="H19" s="37"/>
      <c r="I19" s="37">
        <v>500</v>
      </c>
      <c r="J19" s="50">
        <v>1.6600000000000001</v>
      </c>
      <c r="K19" s="38"/>
      <c r="L19" s="39">
        <f t="shared" ref="L19" si="11">L18*1.2</f>
        <v>123003878.39999999</v>
      </c>
      <c r="M19" s="39">
        <v>4510.1422080000002</v>
      </c>
      <c r="N19" s="39">
        <f t="shared" ref="N19:N28" si="12">N18*1.1</f>
        <v>225507110.40000001</v>
      </c>
      <c r="O19" s="39">
        <v>10000</v>
      </c>
      <c r="P19" s="39">
        <v>350</v>
      </c>
      <c r="Q19" s="40">
        <v>1</v>
      </c>
      <c r="R19" s="39">
        <f t="shared" si="1"/>
        <v>22550.711040000002</v>
      </c>
      <c r="S19" s="39">
        <f t="shared" si="2"/>
        <v>100</v>
      </c>
      <c r="T19" s="41">
        <v>200</v>
      </c>
      <c r="U19" s="7">
        <v>160</v>
      </c>
      <c r="V19" s="46">
        <v>10</v>
      </c>
      <c r="W19" s="46">
        <v>1200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353</v>
      </c>
      <c r="D20" s="7"/>
      <c r="E20" s="13">
        <v>17</v>
      </c>
      <c r="F20" s="37">
        <v>500</v>
      </c>
      <c r="G20" s="37"/>
      <c r="H20" s="37"/>
      <c r="I20" s="37">
        <v>500</v>
      </c>
      <c r="J20" s="50">
        <v>1.6600000000000001</v>
      </c>
      <c r="K20" s="38"/>
      <c r="L20" s="39">
        <f t="shared" ref="L20" si="13">L19*1.2</f>
        <v>147604654.07999998</v>
      </c>
      <c r="M20" s="39">
        <v>4961.1564288000009</v>
      </c>
      <c r="N20" s="39">
        <f t="shared" si="12"/>
        <v>248057821.44000003</v>
      </c>
      <c r="O20" s="39">
        <v>10000</v>
      </c>
      <c r="P20" s="39">
        <v>350</v>
      </c>
      <c r="Q20" s="40">
        <v>1</v>
      </c>
      <c r="R20" s="39">
        <f t="shared" si="1"/>
        <v>24805.782144000004</v>
      </c>
      <c r="S20" s="39">
        <f t="shared" si="2"/>
        <v>100</v>
      </c>
      <c r="T20" s="41">
        <v>200</v>
      </c>
      <c r="U20" s="7">
        <v>170</v>
      </c>
      <c r="V20" s="46">
        <v>10</v>
      </c>
      <c r="W20" s="46">
        <v>1200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353</v>
      </c>
      <c r="D21" s="7"/>
      <c r="E21" s="7">
        <v>18</v>
      </c>
      <c r="F21" s="37">
        <v>500</v>
      </c>
      <c r="G21" s="37"/>
      <c r="H21" s="37"/>
      <c r="I21" s="37">
        <v>500</v>
      </c>
      <c r="J21" s="50">
        <v>1.6600000000000001</v>
      </c>
      <c r="K21" s="38"/>
      <c r="L21" s="39">
        <f t="shared" ref="L21" si="14">L20*1.2</f>
        <v>177125584.89599997</v>
      </c>
      <c r="M21" s="39">
        <v>5457.2720716800013</v>
      </c>
      <c r="N21" s="39">
        <f t="shared" si="12"/>
        <v>272863603.58400005</v>
      </c>
      <c r="O21" s="39">
        <v>10000</v>
      </c>
      <c r="P21" s="39">
        <v>350</v>
      </c>
      <c r="Q21" s="40">
        <v>1</v>
      </c>
      <c r="R21" s="39">
        <f t="shared" si="1"/>
        <v>27286.360358400005</v>
      </c>
      <c r="S21" s="39">
        <f t="shared" si="2"/>
        <v>100</v>
      </c>
      <c r="T21" s="41">
        <v>200</v>
      </c>
      <c r="U21" s="7">
        <v>180</v>
      </c>
      <c r="V21" s="46">
        <v>10</v>
      </c>
      <c r="W21" s="46">
        <v>1200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353</v>
      </c>
      <c r="D22" s="7"/>
      <c r="E22" s="13">
        <v>19</v>
      </c>
      <c r="F22" s="37">
        <v>500</v>
      </c>
      <c r="G22" s="37"/>
      <c r="H22" s="37"/>
      <c r="I22" s="37">
        <v>500</v>
      </c>
      <c r="J22" s="50">
        <v>1.6600000000000001</v>
      </c>
      <c r="K22" s="38"/>
      <c r="L22" s="39">
        <f t="shared" ref="L22" si="15">L21*1.2</f>
        <v>212550701.87519994</v>
      </c>
      <c r="M22" s="39">
        <v>6002.9992788480022</v>
      </c>
      <c r="N22" s="39">
        <f t="shared" si="12"/>
        <v>300149963.9424001</v>
      </c>
      <c r="O22" s="39">
        <v>10000</v>
      </c>
      <c r="P22" s="39">
        <v>350</v>
      </c>
      <c r="Q22" s="40">
        <v>1</v>
      </c>
      <c r="R22" s="39">
        <f t="shared" si="1"/>
        <v>30014.99639424001</v>
      </c>
      <c r="S22" s="39">
        <f t="shared" si="2"/>
        <v>100</v>
      </c>
      <c r="T22" s="41">
        <v>200</v>
      </c>
      <c r="U22" s="7">
        <v>190</v>
      </c>
      <c r="V22" s="46">
        <v>10</v>
      </c>
      <c r="W22" s="46">
        <v>1200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353</v>
      </c>
      <c r="D23" s="7"/>
      <c r="E23" s="7">
        <v>20</v>
      </c>
      <c r="F23" s="37">
        <v>500</v>
      </c>
      <c r="G23" s="37"/>
      <c r="H23" s="37"/>
      <c r="I23" s="37">
        <v>500</v>
      </c>
      <c r="J23" s="50">
        <v>1.6600000000000001</v>
      </c>
      <c r="K23" s="38"/>
      <c r="L23" s="39">
        <f t="shared" ref="L23" si="16">L22*1.2</f>
        <v>255060842.25023991</v>
      </c>
      <c r="M23" s="39">
        <v>6603.2992067328032</v>
      </c>
      <c r="N23" s="39">
        <f t="shared" si="12"/>
        <v>330164960.33664012</v>
      </c>
      <c r="O23" s="39">
        <v>10000</v>
      </c>
      <c r="P23" s="39">
        <v>350</v>
      </c>
      <c r="Q23" s="40">
        <v>1</v>
      </c>
      <c r="R23" s="39">
        <f t="shared" si="1"/>
        <v>33016.496033664014</v>
      </c>
      <c r="S23" s="39">
        <f t="shared" si="2"/>
        <v>100</v>
      </c>
      <c r="T23" s="41">
        <v>200</v>
      </c>
      <c r="U23" s="7">
        <v>200</v>
      </c>
      <c r="V23" s="46">
        <v>10</v>
      </c>
      <c r="W23" s="46">
        <v>1200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353</v>
      </c>
      <c r="D24" s="7"/>
      <c r="E24" s="13">
        <v>21</v>
      </c>
      <c r="F24" s="37">
        <v>500</v>
      </c>
      <c r="G24" s="37"/>
      <c r="H24" s="37"/>
      <c r="I24" s="37">
        <v>500</v>
      </c>
      <c r="J24" s="50">
        <v>1.6600000000000001</v>
      </c>
      <c r="K24" s="38"/>
      <c r="L24" s="39">
        <f t="shared" ref="L24" si="17">L23*1.2</f>
        <v>306073010.70028788</v>
      </c>
      <c r="M24" s="39">
        <v>7263.6291274060841</v>
      </c>
      <c r="N24" s="39">
        <f t="shared" si="12"/>
        <v>363181456.37030417</v>
      </c>
      <c r="O24" s="39">
        <v>10000</v>
      </c>
      <c r="P24" s="39">
        <v>350</v>
      </c>
      <c r="Q24" s="40">
        <v>1</v>
      </c>
      <c r="R24" s="39">
        <f t="shared" si="1"/>
        <v>36318.145637030415</v>
      </c>
      <c r="S24" s="39">
        <f t="shared" si="2"/>
        <v>100</v>
      </c>
      <c r="T24" s="41">
        <v>200</v>
      </c>
      <c r="U24" s="7">
        <v>210</v>
      </c>
      <c r="V24" s="46">
        <v>10</v>
      </c>
      <c r="W24" s="46">
        <v>2000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353</v>
      </c>
      <c r="D25" s="7"/>
      <c r="E25" s="7">
        <v>22</v>
      </c>
      <c r="F25" s="37">
        <v>500</v>
      </c>
      <c r="G25" s="37"/>
      <c r="H25" s="37"/>
      <c r="I25" s="37">
        <v>500</v>
      </c>
      <c r="J25" s="50">
        <v>1.6600000000000001</v>
      </c>
      <c r="K25" s="38"/>
      <c r="L25" s="39">
        <f t="shared" ref="L25" si="18">L24*1.2</f>
        <v>367287612.84034544</v>
      </c>
      <c r="M25" s="39">
        <v>7989.9920401466934</v>
      </c>
      <c r="N25" s="39">
        <f t="shared" si="12"/>
        <v>399499602.00733459</v>
      </c>
      <c r="O25" s="39">
        <v>10000</v>
      </c>
      <c r="P25" s="39">
        <v>350</v>
      </c>
      <c r="Q25" s="40">
        <v>1</v>
      </c>
      <c r="R25" s="39">
        <f t="shared" si="1"/>
        <v>39949.960200733462</v>
      </c>
      <c r="S25" s="39">
        <f t="shared" si="2"/>
        <v>100</v>
      </c>
      <c r="T25" s="41">
        <v>200</v>
      </c>
      <c r="U25" s="7">
        <v>220</v>
      </c>
      <c r="V25" s="46">
        <v>10</v>
      </c>
      <c r="W25" s="46">
        <v>2000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353</v>
      </c>
      <c r="D26" s="7"/>
      <c r="E26" s="13">
        <v>23</v>
      </c>
      <c r="F26" s="37">
        <v>500</v>
      </c>
      <c r="G26" s="37"/>
      <c r="H26" s="37"/>
      <c r="I26" s="37">
        <v>500</v>
      </c>
      <c r="J26" s="50">
        <v>1.6600000000000001</v>
      </c>
      <c r="K26" s="38"/>
      <c r="L26" s="39">
        <f t="shared" ref="L26" si="19">L25*1.2</f>
        <v>440745135.40841454</v>
      </c>
      <c r="M26" s="39">
        <v>8788.9912441613633</v>
      </c>
      <c r="N26" s="39">
        <f t="shared" si="12"/>
        <v>439449562.20806807</v>
      </c>
      <c r="O26" s="39">
        <v>10000</v>
      </c>
      <c r="P26" s="39">
        <v>350</v>
      </c>
      <c r="Q26" s="40">
        <v>1</v>
      </c>
      <c r="R26" s="39">
        <f t="shared" si="1"/>
        <v>43944.956220806809</v>
      </c>
      <c r="S26" s="39">
        <f t="shared" si="2"/>
        <v>100</v>
      </c>
      <c r="T26" s="41">
        <v>200</v>
      </c>
      <c r="U26" s="7">
        <v>230</v>
      </c>
      <c r="V26" s="46">
        <v>10</v>
      </c>
      <c r="W26" s="46">
        <v>2000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353</v>
      </c>
      <c r="D27" s="7"/>
      <c r="E27" s="7">
        <v>24</v>
      </c>
      <c r="F27" s="37">
        <v>500</v>
      </c>
      <c r="G27" s="37"/>
      <c r="H27" s="37"/>
      <c r="I27" s="37">
        <v>500</v>
      </c>
      <c r="J27" s="50">
        <v>1.6600000000000001</v>
      </c>
      <c r="K27" s="38"/>
      <c r="L27" s="39">
        <f t="shared" ref="L27" si="20">L26*1.2</f>
        <v>528894162.4900974</v>
      </c>
      <c r="M27" s="39">
        <v>9667.8903685775003</v>
      </c>
      <c r="N27" s="39">
        <f t="shared" si="12"/>
        <v>483394518.42887491</v>
      </c>
      <c r="O27" s="39">
        <v>10000</v>
      </c>
      <c r="P27" s="39">
        <v>350</v>
      </c>
      <c r="Q27" s="40">
        <v>1</v>
      </c>
      <c r="R27" s="39">
        <f t="shared" si="1"/>
        <v>48339.451842887494</v>
      </c>
      <c r="S27" s="39">
        <f t="shared" si="2"/>
        <v>100</v>
      </c>
      <c r="T27" s="41">
        <v>200</v>
      </c>
      <c r="U27" s="7">
        <v>240</v>
      </c>
      <c r="V27" s="46">
        <v>10</v>
      </c>
      <c r="W27" s="46">
        <v>2000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353</v>
      </c>
      <c r="D28" s="7"/>
      <c r="E28" s="13">
        <v>25</v>
      </c>
      <c r="F28" s="37">
        <v>500</v>
      </c>
      <c r="G28" s="37"/>
      <c r="H28" s="37"/>
      <c r="I28" s="37">
        <v>500</v>
      </c>
      <c r="J28" s="50">
        <v>1.6600000000000001</v>
      </c>
      <c r="K28" s="38"/>
      <c r="L28" s="39">
        <f t="shared" ref="L28" si="21">L27*1.2</f>
        <v>634672994.98811686</v>
      </c>
      <c r="M28" s="39">
        <v>10634.67940543525</v>
      </c>
      <c r="N28" s="39">
        <f t="shared" si="12"/>
        <v>531733970.27176243</v>
      </c>
      <c r="O28" s="39">
        <v>10000</v>
      </c>
      <c r="P28" s="39">
        <v>350</v>
      </c>
      <c r="Q28" s="40">
        <v>1</v>
      </c>
      <c r="R28" s="39">
        <f t="shared" si="1"/>
        <v>53173.397027176245</v>
      </c>
      <c r="S28" s="39">
        <f t="shared" si="2"/>
        <v>100</v>
      </c>
      <c r="T28" s="41">
        <v>200</v>
      </c>
      <c r="U28" s="7">
        <v>250</v>
      </c>
      <c r="V28" s="46">
        <v>10</v>
      </c>
      <c r="W28" s="46">
        <v>2000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365</v>
      </c>
      <c r="D29" s="7"/>
      <c r="E29" s="37">
        <v>5</v>
      </c>
      <c r="F29" s="37">
        <v>500</v>
      </c>
      <c r="G29" s="37"/>
      <c r="H29" s="37"/>
      <c r="I29" s="37">
        <v>500</v>
      </c>
      <c r="J29" s="50">
        <v>100</v>
      </c>
      <c r="K29" s="38"/>
      <c r="L29" s="39">
        <f t="shared" ref="L29" si="22">L28*1.2</f>
        <v>761607593.98574018</v>
      </c>
      <c r="M29" s="7">
        <v>800</v>
      </c>
      <c r="N29" s="7">
        <f t="shared" ref="N29" si="23">N8*5</f>
        <v>40000000</v>
      </c>
      <c r="O29" s="39">
        <v>10000</v>
      </c>
      <c r="P29" s="7">
        <v>400</v>
      </c>
      <c r="Q29" s="40">
        <v>1</v>
      </c>
      <c r="R29" s="39">
        <f t="shared" si="1"/>
        <v>4000</v>
      </c>
      <c r="S29" s="39">
        <f t="shared" si="2"/>
        <v>100</v>
      </c>
      <c r="T29" s="7">
        <v>200</v>
      </c>
      <c r="U29" s="7">
        <f>U8*5</f>
        <v>250</v>
      </c>
      <c r="V29" s="46">
        <v>10</v>
      </c>
      <c r="W29" s="46">
        <v>4000</v>
      </c>
      <c r="X29" s="46">
        <v>0</v>
      </c>
      <c r="Y29" s="46">
        <v>0</v>
      </c>
    </row>
    <row r="30" spans="1:25" ht="15" x14ac:dyDescent="0.15">
      <c r="A30" s="30" t="s">
        <v>244</v>
      </c>
      <c r="B30" s="11" t="s">
        <v>132</v>
      </c>
      <c r="C30" s="12" t="s">
        <v>365</v>
      </c>
      <c r="D30" s="7"/>
      <c r="E30" s="37">
        <v>10</v>
      </c>
      <c r="F30" s="37">
        <v>500</v>
      </c>
      <c r="G30" s="37"/>
      <c r="H30" s="37"/>
      <c r="I30" s="37">
        <v>500</v>
      </c>
      <c r="J30" s="50">
        <v>100</v>
      </c>
      <c r="K30" s="38"/>
      <c r="L30" s="39">
        <f t="shared" ref="L30" si="24">L29*1.2</f>
        <v>913929112.78288817</v>
      </c>
      <c r="M30" s="7">
        <v>7020</v>
      </c>
      <c r="N30" s="7">
        <f t="shared" ref="N30" si="25">N13*5</f>
        <v>351000000</v>
      </c>
      <c r="O30" s="39">
        <v>10000</v>
      </c>
      <c r="P30" s="7">
        <v>400</v>
      </c>
      <c r="Q30" s="40">
        <v>0.9</v>
      </c>
      <c r="R30" s="39">
        <f t="shared" si="1"/>
        <v>35100</v>
      </c>
      <c r="S30" s="39">
        <f t="shared" si="2"/>
        <v>100</v>
      </c>
      <c r="T30" s="7">
        <v>200</v>
      </c>
      <c r="U30" s="7">
        <f>U13*5</f>
        <v>500</v>
      </c>
      <c r="V30" s="46">
        <v>10</v>
      </c>
      <c r="W30" s="46">
        <v>6000</v>
      </c>
      <c r="X30" s="46">
        <v>0</v>
      </c>
      <c r="Y30" s="46">
        <v>0</v>
      </c>
    </row>
    <row r="31" spans="1:25" ht="15" x14ac:dyDescent="0.15">
      <c r="A31" s="30" t="s">
        <v>245</v>
      </c>
      <c r="B31" s="11" t="s">
        <v>133</v>
      </c>
      <c r="C31" s="12" t="s">
        <v>365</v>
      </c>
      <c r="D31" s="7"/>
      <c r="E31" s="37">
        <v>15</v>
      </c>
      <c r="F31" s="37">
        <v>500</v>
      </c>
      <c r="G31" s="37"/>
      <c r="H31" s="37"/>
      <c r="I31" s="37">
        <v>500</v>
      </c>
      <c r="J31" s="50">
        <v>100</v>
      </c>
      <c r="K31" s="38"/>
      <c r="L31" s="39">
        <f t="shared" ref="L31" si="26">L30*1.2</f>
        <v>1096714935.3394659</v>
      </c>
      <c r="M31" s="7">
        <v>20500.646400000001</v>
      </c>
      <c r="N31" s="7">
        <f t="shared" ref="N31" si="27">N18*5</f>
        <v>1025032320</v>
      </c>
      <c r="O31" s="39">
        <v>10000</v>
      </c>
      <c r="P31" s="7">
        <v>400</v>
      </c>
      <c r="Q31" s="40">
        <v>0.8</v>
      </c>
      <c r="R31" s="39">
        <f t="shared" si="1"/>
        <v>102503.232</v>
      </c>
      <c r="S31" s="39">
        <f t="shared" si="2"/>
        <v>100</v>
      </c>
      <c r="T31" s="7">
        <v>200</v>
      </c>
      <c r="U31" s="7">
        <f>U18*5</f>
        <v>750</v>
      </c>
      <c r="V31" s="46">
        <v>10</v>
      </c>
      <c r="W31" s="46">
        <v>8000</v>
      </c>
      <c r="X31" s="46">
        <v>0</v>
      </c>
      <c r="Y31" s="46">
        <v>0</v>
      </c>
    </row>
    <row r="32" spans="1:25" ht="15" x14ac:dyDescent="0.15">
      <c r="A32" s="34" t="s">
        <v>246</v>
      </c>
      <c r="B32" s="11" t="s">
        <v>134</v>
      </c>
      <c r="C32" s="12" t="s">
        <v>365</v>
      </c>
      <c r="D32" s="7"/>
      <c r="E32" s="37">
        <v>20</v>
      </c>
      <c r="F32" s="37">
        <v>500</v>
      </c>
      <c r="G32" s="37"/>
      <c r="H32" s="37"/>
      <c r="I32" s="37">
        <v>500</v>
      </c>
      <c r="J32" s="50">
        <v>100</v>
      </c>
      <c r="K32" s="38"/>
      <c r="L32" s="39">
        <f t="shared" ref="L32" si="28">L31*1.2</f>
        <v>1316057922.4073589</v>
      </c>
      <c r="M32" s="7">
        <v>33016.496033664014</v>
      </c>
      <c r="N32" s="7">
        <f t="shared" ref="N32" si="29">N23*5</f>
        <v>1650824801.6832006</v>
      </c>
      <c r="O32" s="39">
        <v>10000</v>
      </c>
      <c r="P32" s="7">
        <v>400</v>
      </c>
      <c r="Q32" s="40">
        <v>0.7</v>
      </c>
      <c r="R32" s="39">
        <f t="shared" si="1"/>
        <v>165082.48016832006</v>
      </c>
      <c r="S32" s="39">
        <f t="shared" si="2"/>
        <v>100</v>
      </c>
      <c r="T32" s="7">
        <v>200</v>
      </c>
      <c r="U32" s="7">
        <f>U23*5</f>
        <v>1000</v>
      </c>
      <c r="V32" s="46">
        <v>10</v>
      </c>
      <c r="W32" s="46">
        <v>10000</v>
      </c>
      <c r="X32" s="46">
        <v>5</v>
      </c>
      <c r="Y32" s="46">
        <v>200</v>
      </c>
    </row>
    <row r="33" spans="1:25" ht="15" x14ac:dyDescent="0.15">
      <c r="A33" s="34" t="s">
        <v>247</v>
      </c>
      <c r="B33" s="11" t="s">
        <v>135</v>
      </c>
      <c r="C33" s="12" t="s">
        <v>365</v>
      </c>
      <c r="D33" s="7"/>
      <c r="E33" s="37">
        <v>25</v>
      </c>
      <c r="F33" s="37">
        <v>500</v>
      </c>
      <c r="G33" s="37"/>
      <c r="H33" s="37"/>
      <c r="I33" s="37">
        <v>500</v>
      </c>
      <c r="J33" s="50">
        <v>100</v>
      </c>
      <c r="K33" s="38"/>
      <c r="L33" s="39">
        <f t="shared" ref="L33" si="30">L32*1.2</f>
        <v>1579269506.8888307</v>
      </c>
      <c r="M33" s="7">
        <v>53173.397027176252</v>
      </c>
      <c r="N33" s="7">
        <f t="shared" ref="N33" si="31">N28*5</f>
        <v>2658669851.3588123</v>
      </c>
      <c r="O33" s="39">
        <v>10000</v>
      </c>
      <c r="P33" s="7">
        <v>400</v>
      </c>
      <c r="Q33" s="40">
        <v>0.5</v>
      </c>
      <c r="R33" s="39">
        <f t="shared" si="1"/>
        <v>265866.98513588123</v>
      </c>
      <c r="S33" s="39">
        <f t="shared" si="2"/>
        <v>100</v>
      </c>
      <c r="T33" s="7">
        <v>200</v>
      </c>
      <c r="U33" s="7">
        <f>U28*5</f>
        <v>1250</v>
      </c>
      <c r="V33" s="46">
        <v>10</v>
      </c>
      <c r="W33" s="46">
        <v>20000</v>
      </c>
      <c r="X33" s="46">
        <v>5</v>
      </c>
      <c r="Y33" s="46">
        <v>200</v>
      </c>
    </row>
    <row r="34" spans="1:25" ht="15" x14ac:dyDescent="0.15">
      <c r="A34" s="30" t="s">
        <v>248</v>
      </c>
      <c r="B34" s="11" t="s">
        <v>136</v>
      </c>
      <c r="C34" s="12" t="s">
        <v>365</v>
      </c>
      <c r="D34" s="7"/>
      <c r="E34" s="7"/>
      <c r="F34" s="37">
        <v>500</v>
      </c>
      <c r="G34" s="37"/>
      <c r="H34" s="37"/>
      <c r="I34" s="37">
        <v>500</v>
      </c>
      <c r="J34" s="50">
        <v>100</v>
      </c>
      <c r="K34" s="38"/>
      <c r="L34" s="43">
        <f>L33*0.7</f>
        <v>1105488654.8221815</v>
      </c>
      <c r="M34" s="43">
        <v>37221.377919023376</v>
      </c>
      <c r="N34" s="43">
        <f t="shared" ref="N34" si="32">N33*0.7</f>
        <v>1861068895.9511685</v>
      </c>
      <c r="O34" s="39">
        <v>10000</v>
      </c>
      <c r="P34" s="43">
        <v>350</v>
      </c>
      <c r="Q34" s="44">
        <v>0.6</v>
      </c>
      <c r="R34" s="43">
        <f t="shared" si="1"/>
        <v>186106.88959511687</v>
      </c>
      <c r="S34" s="43">
        <f>O34*0.001</f>
        <v>10</v>
      </c>
      <c r="T34" s="45">
        <v>200</v>
      </c>
      <c r="U34" s="43">
        <v>200</v>
      </c>
      <c r="V34" s="46">
        <v>10</v>
      </c>
      <c r="W34" s="46">
        <v>12000</v>
      </c>
      <c r="X34" s="46">
        <v>5</v>
      </c>
      <c r="Y34" s="46">
        <v>200</v>
      </c>
    </row>
    <row r="35" spans="1:25" ht="15" x14ac:dyDescent="0.15">
      <c r="A35" s="30" t="s">
        <v>249</v>
      </c>
      <c r="B35" s="11" t="s">
        <v>137</v>
      </c>
      <c r="C35" s="12" t="s">
        <v>353</v>
      </c>
      <c r="D35" s="7"/>
      <c r="E35" s="7"/>
      <c r="F35" s="37">
        <v>10</v>
      </c>
      <c r="G35" s="37"/>
      <c r="H35" s="37"/>
      <c r="I35" s="37">
        <v>500</v>
      </c>
      <c r="J35" s="53">
        <v>0.08</v>
      </c>
      <c r="K35" s="38"/>
      <c r="L35" s="43">
        <v>50</v>
      </c>
      <c r="M35" s="43">
        <v>2</v>
      </c>
      <c r="N35" s="43">
        <v>2500</v>
      </c>
      <c r="O35" s="43">
        <f t="shared" ref="O35:U35" si="33">O4</f>
        <v>100</v>
      </c>
      <c r="P35" s="43">
        <f t="shared" si="33"/>
        <v>350</v>
      </c>
      <c r="Q35" s="44">
        <f t="shared" si="33"/>
        <v>1</v>
      </c>
      <c r="R35" s="43">
        <f t="shared" si="33"/>
        <v>10</v>
      </c>
      <c r="S35" s="43">
        <f t="shared" si="33"/>
        <v>1</v>
      </c>
      <c r="T35" s="43">
        <f t="shared" si="33"/>
        <v>200</v>
      </c>
      <c r="U35" s="43">
        <f t="shared" si="33"/>
        <v>10</v>
      </c>
      <c r="V35" s="46">
        <v>5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250</v>
      </c>
      <c r="B36" s="11" t="s">
        <v>138</v>
      </c>
      <c r="C36" s="12" t="s">
        <v>353</v>
      </c>
      <c r="D36" s="7"/>
      <c r="E36" s="7"/>
      <c r="F36" s="37">
        <v>1000</v>
      </c>
      <c r="G36" s="37"/>
      <c r="H36" s="37"/>
      <c r="I36" s="37">
        <v>500</v>
      </c>
      <c r="J36" s="53">
        <v>0.08</v>
      </c>
      <c r="K36" s="38"/>
      <c r="L36" s="43">
        <v>50000</v>
      </c>
      <c r="M36" s="43">
        <v>4</v>
      </c>
      <c r="N36" s="43">
        <v>200000</v>
      </c>
      <c r="O36" s="43">
        <f t="shared" ref="O36:U36" si="34">O6</f>
        <v>100</v>
      </c>
      <c r="P36" s="43">
        <f t="shared" si="34"/>
        <v>350</v>
      </c>
      <c r="Q36" s="44">
        <f t="shared" si="34"/>
        <v>1</v>
      </c>
      <c r="R36" s="43">
        <f t="shared" si="34"/>
        <v>200</v>
      </c>
      <c r="S36" s="43">
        <f t="shared" si="34"/>
        <v>1</v>
      </c>
      <c r="T36" s="43">
        <f t="shared" si="34"/>
        <v>200</v>
      </c>
      <c r="U36" s="43">
        <f t="shared" si="34"/>
        <v>30</v>
      </c>
      <c r="V36" s="46">
        <v>5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251</v>
      </c>
      <c r="B37" s="11" t="s">
        <v>139</v>
      </c>
      <c r="C37" s="12" t="s">
        <v>353</v>
      </c>
      <c r="D37" s="7"/>
      <c r="E37" s="7"/>
      <c r="F37" s="37">
        <v>3500</v>
      </c>
      <c r="G37" s="37"/>
      <c r="H37" s="37"/>
      <c r="I37" s="37">
        <v>500</v>
      </c>
      <c r="J37" s="53">
        <v>0.08</v>
      </c>
      <c r="K37" s="38"/>
      <c r="L37" s="43">
        <f>L5</f>
        <v>200000</v>
      </c>
      <c r="M37" s="43">
        <v>20</v>
      </c>
      <c r="N37" s="43">
        <f t="shared" ref="N37" si="35">N5</f>
        <v>1000000</v>
      </c>
      <c r="O37" s="43">
        <f t="shared" ref="O37:U37" si="36">O8</f>
        <v>1000</v>
      </c>
      <c r="P37" s="43">
        <f t="shared" si="36"/>
        <v>350</v>
      </c>
      <c r="Q37" s="44">
        <f t="shared" si="36"/>
        <v>1</v>
      </c>
      <c r="R37" s="43">
        <f t="shared" si="36"/>
        <v>800</v>
      </c>
      <c r="S37" s="43">
        <f t="shared" si="36"/>
        <v>10</v>
      </c>
      <c r="T37" s="43">
        <f t="shared" si="36"/>
        <v>200</v>
      </c>
      <c r="U37" s="43">
        <f t="shared" si="36"/>
        <v>50</v>
      </c>
      <c r="V37" s="46">
        <v>5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252</v>
      </c>
      <c r="B38" s="11" t="s">
        <v>140</v>
      </c>
      <c r="C38" s="12" t="s">
        <v>353</v>
      </c>
      <c r="D38" s="7"/>
      <c r="E38" s="7"/>
      <c r="F38" s="37">
        <v>10000</v>
      </c>
      <c r="G38" s="37"/>
      <c r="H38" s="37"/>
      <c r="I38" s="37">
        <v>500</v>
      </c>
      <c r="J38" s="53">
        <v>0.08</v>
      </c>
      <c r="K38" s="38"/>
      <c r="L38" s="43">
        <v>1000000</v>
      </c>
      <c r="M38" s="43">
        <v>50</v>
      </c>
      <c r="N38" s="43">
        <v>4000000</v>
      </c>
      <c r="O38" s="43">
        <f t="shared" ref="O38:U38" si="37">O10</f>
        <v>10000</v>
      </c>
      <c r="P38" s="43">
        <f t="shared" si="37"/>
        <v>350</v>
      </c>
      <c r="Q38" s="44">
        <f t="shared" si="37"/>
        <v>1</v>
      </c>
      <c r="R38" s="43">
        <f t="shared" si="37"/>
        <v>2400</v>
      </c>
      <c r="S38" s="43">
        <f t="shared" si="37"/>
        <v>100</v>
      </c>
      <c r="T38" s="43">
        <f t="shared" si="37"/>
        <v>200</v>
      </c>
      <c r="U38" s="43">
        <f t="shared" si="37"/>
        <v>70</v>
      </c>
      <c r="V38" s="46">
        <v>5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253</v>
      </c>
      <c r="B39" s="11" t="s">
        <v>141</v>
      </c>
      <c r="C39" s="12" t="s">
        <v>353</v>
      </c>
      <c r="D39" s="7"/>
      <c r="E39" s="7"/>
      <c r="F39" s="46"/>
      <c r="G39" s="46">
        <v>2</v>
      </c>
      <c r="H39" s="46"/>
      <c r="I39" s="37">
        <v>500</v>
      </c>
      <c r="J39" s="53">
        <v>0.08</v>
      </c>
      <c r="K39" s="38"/>
      <c r="L39" s="43">
        <v>4000000</v>
      </c>
      <c r="M39" s="43">
        <v>100</v>
      </c>
      <c r="N39" s="43">
        <f t="shared" ref="N39" si="38">N38*2</f>
        <v>8000000</v>
      </c>
      <c r="O39" s="43">
        <f t="shared" ref="O39:U39" si="39">O12</f>
        <v>10000</v>
      </c>
      <c r="P39" s="43">
        <f t="shared" si="39"/>
        <v>350</v>
      </c>
      <c r="Q39" s="44">
        <f t="shared" si="39"/>
        <v>1</v>
      </c>
      <c r="R39" s="43">
        <f t="shared" si="39"/>
        <v>5400</v>
      </c>
      <c r="S39" s="43">
        <f t="shared" si="39"/>
        <v>100</v>
      </c>
      <c r="T39" s="43">
        <f t="shared" si="39"/>
        <v>200</v>
      </c>
      <c r="U39" s="43">
        <f t="shared" si="39"/>
        <v>90</v>
      </c>
      <c r="V39" s="43">
        <v>10</v>
      </c>
      <c r="W39" s="43">
        <v>400</v>
      </c>
      <c r="X39" s="46">
        <v>0</v>
      </c>
      <c r="Y39" s="46">
        <v>0</v>
      </c>
    </row>
    <row r="40" spans="1:25" ht="14.25" customHeight="1" x14ac:dyDescent="0.15">
      <c r="A40" s="30" t="s">
        <v>254</v>
      </c>
      <c r="B40" s="11" t="s">
        <v>142</v>
      </c>
      <c r="C40" s="12" t="s">
        <v>353</v>
      </c>
      <c r="D40" s="7"/>
      <c r="E40" s="7"/>
      <c r="F40" s="46"/>
      <c r="G40" s="37">
        <v>5</v>
      </c>
      <c r="H40" s="37"/>
      <c r="I40" s="37">
        <v>500</v>
      </c>
      <c r="J40" s="53">
        <v>0.08</v>
      </c>
      <c r="K40" s="38"/>
      <c r="L40" s="43">
        <f>L43*1.5</f>
        <v>12000000</v>
      </c>
      <c r="M40" s="43">
        <v>300</v>
      </c>
      <c r="N40" s="43">
        <f t="shared" ref="N40" si="40">N43*1.5</f>
        <v>24000000</v>
      </c>
      <c r="O40" s="43">
        <f t="shared" ref="O40:U40" si="41">O14</f>
        <v>10000</v>
      </c>
      <c r="P40" s="43">
        <f t="shared" si="41"/>
        <v>350</v>
      </c>
      <c r="Q40" s="44">
        <f t="shared" si="41"/>
        <v>1</v>
      </c>
      <c r="R40" s="43">
        <f t="shared" si="41"/>
        <v>9126</v>
      </c>
      <c r="S40" s="43">
        <f t="shared" si="41"/>
        <v>100</v>
      </c>
      <c r="T40" s="43">
        <f t="shared" si="41"/>
        <v>200</v>
      </c>
      <c r="U40" s="43">
        <f t="shared" si="41"/>
        <v>110</v>
      </c>
      <c r="V40" s="43">
        <v>10</v>
      </c>
      <c r="W40" s="43">
        <v>800</v>
      </c>
      <c r="X40" s="46">
        <v>0</v>
      </c>
      <c r="Y40" s="46">
        <v>0</v>
      </c>
    </row>
    <row r="41" spans="1:25" ht="15" x14ac:dyDescent="0.15">
      <c r="A41" s="30" t="s">
        <v>255</v>
      </c>
      <c r="B41" s="11" t="s">
        <v>143</v>
      </c>
      <c r="C41" s="12" t="s">
        <v>353</v>
      </c>
      <c r="D41" s="7"/>
      <c r="E41" s="7"/>
      <c r="F41" s="46"/>
      <c r="G41" s="37">
        <v>15</v>
      </c>
      <c r="H41" s="37"/>
      <c r="I41" s="37">
        <v>500</v>
      </c>
      <c r="J41" s="53">
        <v>0.08</v>
      </c>
      <c r="K41" s="38"/>
      <c r="L41" s="43">
        <f>L44*1.5</f>
        <v>27000000</v>
      </c>
      <c r="M41" s="43">
        <v>675</v>
      </c>
      <c r="N41" s="43">
        <f t="shared" ref="N41" si="42">N44*1.5</f>
        <v>54000000</v>
      </c>
      <c r="O41" s="43">
        <f t="shared" ref="O41:U41" si="43">O16</f>
        <v>10000</v>
      </c>
      <c r="P41" s="43">
        <f t="shared" si="43"/>
        <v>350</v>
      </c>
      <c r="Q41" s="44">
        <f t="shared" si="43"/>
        <v>1</v>
      </c>
      <c r="R41" s="43">
        <f t="shared" si="43"/>
        <v>14236.560000000001</v>
      </c>
      <c r="S41" s="43">
        <f t="shared" si="43"/>
        <v>100</v>
      </c>
      <c r="T41" s="43">
        <f t="shared" si="43"/>
        <v>200</v>
      </c>
      <c r="U41" s="43">
        <f t="shared" si="43"/>
        <v>130</v>
      </c>
      <c r="V41" s="43">
        <v>10</v>
      </c>
      <c r="W41" s="43">
        <v>1200</v>
      </c>
      <c r="X41" s="46">
        <v>0</v>
      </c>
      <c r="Y41" s="46">
        <v>0</v>
      </c>
    </row>
    <row r="42" spans="1:25" ht="15" x14ac:dyDescent="0.15">
      <c r="A42" s="30" t="s">
        <v>256</v>
      </c>
      <c r="B42" s="11" t="s">
        <v>144</v>
      </c>
      <c r="C42" s="12" t="s">
        <v>353</v>
      </c>
      <c r="D42" s="7"/>
      <c r="E42" s="7"/>
      <c r="F42" s="46"/>
      <c r="G42" s="37">
        <v>50</v>
      </c>
      <c r="H42" s="37"/>
      <c r="I42" s="37">
        <v>500</v>
      </c>
      <c r="J42" s="53">
        <v>0.08</v>
      </c>
      <c r="K42" s="38"/>
      <c r="L42" s="43">
        <f>L45*1.5</f>
        <v>60750000</v>
      </c>
      <c r="M42" s="43">
        <v>1518.75</v>
      </c>
      <c r="N42" s="43">
        <f t="shared" ref="N42" si="44">N45*1.5</f>
        <v>121500000</v>
      </c>
      <c r="O42" s="43">
        <f t="shared" ref="O42:U42" si="45">O18</f>
        <v>10000</v>
      </c>
      <c r="P42" s="43">
        <f t="shared" si="45"/>
        <v>350</v>
      </c>
      <c r="Q42" s="44">
        <f t="shared" si="45"/>
        <v>1</v>
      </c>
      <c r="R42" s="43">
        <f t="shared" si="45"/>
        <v>20500.646400000001</v>
      </c>
      <c r="S42" s="43">
        <f t="shared" si="45"/>
        <v>100</v>
      </c>
      <c r="T42" s="43">
        <f t="shared" si="45"/>
        <v>200</v>
      </c>
      <c r="U42" s="43">
        <f t="shared" si="45"/>
        <v>150</v>
      </c>
      <c r="V42" s="43">
        <v>10</v>
      </c>
      <c r="W42" s="43">
        <v>2000</v>
      </c>
      <c r="X42" s="46">
        <v>0</v>
      </c>
      <c r="Y42" s="46">
        <v>0</v>
      </c>
    </row>
    <row r="43" spans="1:25" ht="15" x14ac:dyDescent="0.15">
      <c r="A43" s="30" t="s">
        <v>257</v>
      </c>
      <c r="B43" s="11" t="s">
        <v>145</v>
      </c>
      <c r="C43" s="12" t="s">
        <v>353</v>
      </c>
      <c r="D43" s="7"/>
      <c r="E43" s="7"/>
      <c r="F43" s="46"/>
      <c r="G43" s="37"/>
      <c r="H43" s="37">
        <v>5</v>
      </c>
      <c r="I43" s="37">
        <v>500</v>
      </c>
      <c r="J43" s="53">
        <v>0.08</v>
      </c>
      <c r="K43" s="38"/>
      <c r="L43" s="43">
        <f>L39*2</f>
        <v>8000000</v>
      </c>
      <c r="M43" s="43">
        <v>200</v>
      </c>
      <c r="N43" s="43">
        <f t="shared" ref="N43" si="46">N39*2</f>
        <v>16000000</v>
      </c>
      <c r="O43" s="43">
        <f t="shared" ref="O43:T43" si="47">O8</f>
        <v>1000</v>
      </c>
      <c r="P43" s="43">
        <f t="shared" si="47"/>
        <v>350</v>
      </c>
      <c r="Q43" s="44">
        <f t="shared" si="47"/>
        <v>1</v>
      </c>
      <c r="R43" s="43">
        <f t="shared" si="47"/>
        <v>800</v>
      </c>
      <c r="S43" s="43">
        <f t="shared" si="47"/>
        <v>10</v>
      </c>
      <c r="T43" s="43">
        <f t="shared" si="47"/>
        <v>200</v>
      </c>
      <c r="U43" s="43">
        <v>100</v>
      </c>
      <c r="V43" s="43">
        <v>10</v>
      </c>
      <c r="W43" s="43">
        <v>600</v>
      </c>
      <c r="X43" s="43">
        <f>X13</f>
        <v>0</v>
      </c>
      <c r="Y43" s="43">
        <f>Y13</f>
        <v>0</v>
      </c>
    </row>
    <row r="44" spans="1:25" ht="15" x14ac:dyDescent="0.15">
      <c r="A44" s="30" t="s">
        <v>258</v>
      </c>
      <c r="B44" s="11" t="s">
        <v>146</v>
      </c>
      <c r="C44" s="12" t="s">
        <v>353</v>
      </c>
      <c r="D44" s="7"/>
      <c r="E44" s="7"/>
      <c r="F44" s="46"/>
      <c r="G44" s="37"/>
      <c r="H44" s="37">
        <v>35</v>
      </c>
      <c r="I44" s="37">
        <v>500</v>
      </c>
      <c r="J44" s="53">
        <v>0.08</v>
      </c>
      <c r="K44" s="38"/>
      <c r="L44" s="43">
        <f>L40*1.5</f>
        <v>18000000</v>
      </c>
      <c r="M44" s="43">
        <v>450</v>
      </c>
      <c r="N44" s="43">
        <f t="shared" ref="N44" si="48">N40*1.5</f>
        <v>36000000</v>
      </c>
      <c r="O44" s="43">
        <f t="shared" ref="O44:Y44" si="49">O14</f>
        <v>10000</v>
      </c>
      <c r="P44" s="43">
        <f t="shared" si="49"/>
        <v>350</v>
      </c>
      <c r="Q44" s="44">
        <f t="shared" si="49"/>
        <v>1</v>
      </c>
      <c r="R44" s="43">
        <f t="shared" si="49"/>
        <v>9126</v>
      </c>
      <c r="S44" s="43">
        <f t="shared" si="49"/>
        <v>100</v>
      </c>
      <c r="T44" s="43">
        <f t="shared" si="49"/>
        <v>200</v>
      </c>
      <c r="U44" s="43">
        <f t="shared" si="49"/>
        <v>110</v>
      </c>
      <c r="V44" s="43">
        <v>10</v>
      </c>
      <c r="W44" s="43">
        <v>1000</v>
      </c>
      <c r="X44" s="43">
        <f t="shared" si="49"/>
        <v>0</v>
      </c>
      <c r="Y44" s="43">
        <f t="shared" si="49"/>
        <v>0</v>
      </c>
    </row>
    <row r="45" spans="1:25" ht="14.25" customHeight="1" x14ac:dyDescent="0.15">
      <c r="A45" s="30" t="s">
        <v>259</v>
      </c>
      <c r="B45" s="11" t="s">
        <v>147</v>
      </c>
      <c r="C45" s="12" t="s">
        <v>353</v>
      </c>
      <c r="D45" s="7"/>
      <c r="E45" s="7"/>
      <c r="F45" s="46"/>
      <c r="G45" s="37"/>
      <c r="H45" s="37">
        <v>100</v>
      </c>
      <c r="I45" s="37">
        <v>500</v>
      </c>
      <c r="J45" s="53">
        <v>0.08</v>
      </c>
      <c r="K45" s="38"/>
      <c r="L45" s="43">
        <f>L41*1.5</f>
        <v>40500000</v>
      </c>
      <c r="M45" s="43">
        <v>1012.5</v>
      </c>
      <c r="N45" s="43">
        <f t="shared" ref="N45" si="50">N41*1.5</f>
        <v>81000000</v>
      </c>
      <c r="O45" s="43">
        <f t="shared" ref="O45:Y45" si="51">O23</f>
        <v>10000</v>
      </c>
      <c r="P45" s="43">
        <f t="shared" si="51"/>
        <v>350</v>
      </c>
      <c r="Q45" s="44">
        <f t="shared" si="51"/>
        <v>1</v>
      </c>
      <c r="R45" s="43">
        <f t="shared" si="51"/>
        <v>33016.496033664014</v>
      </c>
      <c r="S45" s="43">
        <f t="shared" si="51"/>
        <v>100</v>
      </c>
      <c r="T45" s="43">
        <f t="shared" si="51"/>
        <v>200</v>
      </c>
      <c r="U45" s="43">
        <f t="shared" si="51"/>
        <v>200</v>
      </c>
      <c r="V45" s="43">
        <v>10</v>
      </c>
      <c r="W45" s="43">
        <v>1600</v>
      </c>
      <c r="X45" s="43">
        <f t="shared" si="51"/>
        <v>0</v>
      </c>
      <c r="Y45" s="43">
        <f t="shared" si="51"/>
        <v>0</v>
      </c>
    </row>
    <row r="46" spans="1:25" ht="15" x14ac:dyDescent="0.15">
      <c r="A46" s="30" t="s">
        <v>260</v>
      </c>
      <c r="B46" s="11" t="s">
        <v>148</v>
      </c>
      <c r="C46" s="12" t="s">
        <v>365</v>
      </c>
      <c r="D46" s="7"/>
      <c r="E46" s="7"/>
      <c r="F46" s="37">
        <v>500</v>
      </c>
      <c r="G46" s="37"/>
      <c r="H46" s="37"/>
      <c r="I46" s="37">
        <v>500</v>
      </c>
      <c r="J46" s="53">
        <v>0</v>
      </c>
      <c r="K46" s="38"/>
      <c r="L46" s="43">
        <v>1250000</v>
      </c>
      <c r="M46" s="43">
        <v>30</v>
      </c>
      <c r="N46" s="43">
        <v>7500000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10</v>
      </c>
      <c r="W46" s="46">
        <v>800</v>
      </c>
      <c r="X46" s="46">
        <v>0</v>
      </c>
      <c r="Y46" s="46">
        <v>0</v>
      </c>
    </row>
    <row r="47" spans="1:25" ht="15" x14ac:dyDescent="0.15">
      <c r="A47" s="30" t="s">
        <v>261</v>
      </c>
      <c r="B47" s="11" t="s">
        <v>149</v>
      </c>
      <c r="C47" s="12" t="s">
        <v>365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>L46*1.25</f>
        <v>1562500</v>
      </c>
      <c r="M47" s="43">
        <v>37.5</v>
      </c>
      <c r="N47" s="43">
        <f t="shared" ref="N47" si="52">N46*1.25</f>
        <v>9375000</v>
      </c>
      <c r="O47" s="43">
        <f t="shared" ref="O47:O62" si="53">O5*3</f>
        <v>300</v>
      </c>
      <c r="P47" s="39">
        <f t="shared" ref="P47:P70" si="54">P5</f>
        <v>350</v>
      </c>
      <c r="Q47" s="40">
        <v>0.75</v>
      </c>
      <c r="R47" s="39">
        <f t="shared" ref="R47:U62" si="55">R5</f>
        <v>100</v>
      </c>
      <c r="S47" s="39">
        <f t="shared" si="55"/>
        <v>1</v>
      </c>
      <c r="T47" s="39">
        <f t="shared" si="55"/>
        <v>200</v>
      </c>
      <c r="U47" s="39">
        <f t="shared" si="55"/>
        <v>20</v>
      </c>
      <c r="V47" s="46">
        <v>10</v>
      </c>
      <c r="W47" s="46">
        <v>800</v>
      </c>
      <c r="X47" s="46">
        <v>0</v>
      </c>
      <c r="Y47" s="46">
        <v>0</v>
      </c>
    </row>
    <row r="48" spans="1:25" ht="15" x14ac:dyDescent="0.15">
      <c r="A48" s="30" t="s">
        <v>262</v>
      </c>
      <c r="B48" s="11" t="s">
        <v>150</v>
      </c>
      <c r="C48" s="12" t="s">
        <v>365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v>9000000</v>
      </c>
      <c r="M48" s="43">
        <v>73.2421875</v>
      </c>
      <c r="N48" s="43">
        <v>18310546.875</v>
      </c>
      <c r="O48" s="43">
        <f t="shared" si="53"/>
        <v>300</v>
      </c>
      <c r="P48" s="39">
        <f t="shared" si="54"/>
        <v>350</v>
      </c>
      <c r="Q48" s="40">
        <v>0.75</v>
      </c>
      <c r="R48" s="39">
        <f t="shared" si="55"/>
        <v>200</v>
      </c>
      <c r="S48" s="39">
        <f t="shared" si="55"/>
        <v>1</v>
      </c>
      <c r="T48" s="39">
        <f t="shared" si="55"/>
        <v>200</v>
      </c>
      <c r="U48" s="39">
        <f t="shared" si="55"/>
        <v>30</v>
      </c>
      <c r="V48" s="46">
        <v>10</v>
      </c>
      <c r="W48" s="46">
        <v>800</v>
      </c>
      <c r="X48" s="46">
        <v>0</v>
      </c>
      <c r="Y48" s="46">
        <v>0</v>
      </c>
    </row>
    <row r="49" spans="1:25" ht="15" x14ac:dyDescent="0.15">
      <c r="A49" s="30" t="s">
        <v>263</v>
      </c>
      <c r="B49" s="11" t="s">
        <v>151</v>
      </c>
      <c r="C49" s="12" t="s">
        <v>365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>L48*1.25</f>
        <v>11250000</v>
      </c>
      <c r="M49" s="43">
        <v>91.552734375</v>
      </c>
      <c r="N49" s="43">
        <f>N48*1.25</f>
        <v>22888183.59375</v>
      </c>
      <c r="O49" s="43">
        <f t="shared" si="53"/>
        <v>3000</v>
      </c>
      <c r="P49" s="39">
        <f t="shared" si="54"/>
        <v>350</v>
      </c>
      <c r="Q49" s="40">
        <v>0.75</v>
      </c>
      <c r="R49" s="39">
        <f t="shared" si="55"/>
        <v>400</v>
      </c>
      <c r="S49" s="39">
        <f t="shared" si="55"/>
        <v>10</v>
      </c>
      <c r="T49" s="39">
        <f t="shared" si="55"/>
        <v>200</v>
      </c>
      <c r="U49" s="39">
        <f t="shared" si="55"/>
        <v>40</v>
      </c>
      <c r="V49" s="46">
        <v>10</v>
      </c>
      <c r="W49" s="46">
        <v>800</v>
      </c>
      <c r="X49" s="46">
        <v>0</v>
      </c>
      <c r="Y49" s="46">
        <v>0</v>
      </c>
    </row>
    <row r="50" spans="1:25" ht="15" x14ac:dyDescent="0.15">
      <c r="A50" s="30" t="s">
        <v>264</v>
      </c>
      <c r="B50" s="11" t="s">
        <v>152</v>
      </c>
      <c r="C50" s="12" t="s">
        <v>365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v>25000000</v>
      </c>
      <c r="M50" s="43">
        <v>150</v>
      </c>
      <c r="N50" s="43">
        <v>50000000</v>
      </c>
      <c r="O50" s="43">
        <f t="shared" si="53"/>
        <v>3000</v>
      </c>
      <c r="P50" s="39">
        <f t="shared" si="54"/>
        <v>350</v>
      </c>
      <c r="Q50" s="40">
        <v>0.75</v>
      </c>
      <c r="R50" s="39">
        <f t="shared" si="55"/>
        <v>800</v>
      </c>
      <c r="S50" s="39">
        <f t="shared" si="55"/>
        <v>10</v>
      </c>
      <c r="T50" s="39">
        <f t="shared" si="55"/>
        <v>200</v>
      </c>
      <c r="U50" s="39">
        <f t="shared" si="55"/>
        <v>50</v>
      </c>
      <c r="V50" s="46">
        <v>10</v>
      </c>
      <c r="W50" s="46">
        <v>1200</v>
      </c>
      <c r="X50" s="46">
        <v>0</v>
      </c>
      <c r="Y50" s="46">
        <v>0</v>
      </c>
    </row>
    <row r="51" spans="1:25" ht="15" x14ac:dyDescent="0.15">
      <c r="A51" s="30" t="s">
        <v>265</v>
      </c>
      <c r="B51" s="11" t="s">
        <v>153</v>
      </c>
      <c r="C51" s="12" t="s">
        <v>365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ref="L51" si="56">L50*1.25</f>
        <v>31250000</v>
      </c>
      <c r="M51" s="43">
        <v>187.5</v>
      </c>
      <c r="N51" s="43">
        <f t="shared" ref="N51" si="57">N50*1.25</f>
        <v>62500000</v>
      </c>
      <c r="O51" s="43">
        <f t="shared" si="53"/>
        <v>30000</v>
      </c>
      <c r="P51" s="39">
        <f t="shared" si="54"/>
        <v>350</v>
      </c>
      <c r="Q51" s="40">
        <v>0.75</v>
      </c>
      <c r="R51" s="39">
        <f t="shared" si="55"/>
        <v>1600</v>
      </c>
      <c r="S51" s="39">
        <f t="shared" si="55"/>
        <v>100</v>
      </c>
      <c r="T51" s="39">
        <f t="shared" si="55"/>
        <v>200</v>
      </c>
      <c r="U51" s="39">
        <f t="shared" si="55"/>
        <v>60</v>
      </c>
      <c r="V51" s="46">
        <v>10</v>
      </c>
      <c r="W51" s="46">
        <v>1200</v>
      </c>
      <c r="X51" s="46">
        <v>0</v>
      </c>
      <c r="Y51" s="46">
        <v>0</v>
      </c>
    </row>
    <row r="52" spans="1:25" ht="15" x14ac:dyDescent="0.15">
      <c r="A52" s="30" t="s">
        <v>266</v>
      </c>
      <c r="B52" s="11" t="s">
        <v>154</v>
      </c>
      <c r="C52" s="12" t="s">
        <v>365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>L51*2</f>
        <v>62500000</v>
      </c>
      <c r="M52" s="43">
        <v>375</v>
      </c>
      <c r="N52" s="43">
        <f t="shared" ref="N52" si="58">N51*2</f>
        <v>125000000</v>
      </c>
      <c r="O52" s="43">
        <f t="shared" si="53"/>
        <v>30000</v>
      </c>
      <c r="P52" s="39">
        <f t="shared" si="54"/>
        <v>350</v>
      </c>
      <c r="Q52" s="40">
        <v>0.75</v>
      </c>
      <c r="R52" s="39">
        <f t="shared" si="55"/>
        <v>2400</v>
      </c>
      <c r="S52" s="39">
        <f t="shared" si="55"/>
        <v>100</v>
      </c>
      <c r="T52" s="39">
        <f t="shared" si="55"/>
        <v>200</v>
      </c>
      <c r="U52" s="39">
        <f t="shared" si="55"/>
        <v>70</v>
      </c>
      <c r="V52" s="46">
        <v>10</v>
      </c>
      <c r="W52" s="46">
        <v>1600</v>
      </c>
      <c r="X52" s="46">
        <v>0</v>
      </c>
      <c r="Y52" s="46">
        <v>0</v>
      </c>
    </row>
    <row r="53" spans="1:25" ht="15" x14ac:dyDescent="0.15">
      <c r="A53" s="30" t="s">
        <v>267</v>
      </c>
      <c r="B53" s="11" t="s">
        <v>155</v>
      </c>
      <c r="C53" s="12" t="s">
        <v>365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>L52*1.25</f>
        <v>78125000</v>
      </c>
      <c r="M53" s="43">
        <v>468.75</v>
      </c>
      <c r="N53" s="43">
        <f t="shared" ref="N53" si="59">N52*1.25</f>
        <v>156250000</v>
      </c>
      <c r="O53" s="43">
        <f t="shared" si="53"/>
        <v>30000</v>
      </c>
      <c r="P53" s="39">
        <f t="shared" si="54"/>
        <v>350</v>
      </c>
      <c r="Q53" s="40">
        <v>0.75</v>
      </c>
      <c r="R53" s="39">
        <f t="shared" si="55"/>
        <v>3600</v>
      </c>
      <c r="S53" s="39">
        <f t="shared" si="55"/>
        <v>100</v>
      </c>
      <c r="T53" s="39">
        <f t="shared" si="55"/>
        <v>200</v>
      </c>
      <c r="U53" s="39">
        <f t="shared" si="55"/>
        <v>80</v>
      </c>
      <c r="V53" s="46">
        <v>10</v>
      </c>
      <c r="W53" s="46">
        <v>1600</v>
      </c>
      <c r="X53" s="46">
        <v>0</v>
      </c>
      <c r="Y53" s="46">
        <v>0</v>
      </c>
    </row>
    <row r="54" spans="1:25" ht="15" x14ac:dyDescent="0.15">
      <c r="A54" s="30" t="s">
        <v>268</v>
      </c>
      <c r="B54" s="11" t="s">
        <v>156</v>
      </c>
      <c r="C54" s="12" t="s">
        <v>365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>L53*1.7</f>
        <v>132812500</v>
      </c>
      <c r="M54" s="43">
        <v>796.875</v>
      </c>
      <c r="N54" s="43">
        <f t="shared" ref="N54" si="60">N53*1.7</f>
        <v>265625000</v>
      </c>
      <c r="O54" s="43">
        <f t="shared" si="53"/>
        <v>30000</v>
      </c>
      <c r="P54" s="39">
        <f t="shared" si="54"/>
        <v>350</v>
      </c>
      <c r="Q54" s="40">
        <v>0.75</v>
      </c>
      <c r="R54" s="39">
        <f t="shared" si="55"/>
        <v>5400</v>
      </c>
      <c r="S54" s="39">
        <f t="shared" si="55"/>
        <v>100</v>
      </c>
      <c r="T54" s="39">
        <f t="shared" si="55"/>
        <v>200</v>
      </c>
      <c r="U54" s="39">
        <f t="shared" si="55"/>
        <v>90</v>
      </c>
      <c r="V54" s="46">
        <v>10</v>
      </c>
      <c r="W54" s="46">
        <v>2000</v>
      </c>
      <c r="X54" s="46">
        <v>0</v>
      </c>
      <c r="Y54" s="46">
        <v>0</v>
      </c>
    </row>
    <row r="55" spans="1:25" ht="15" x14ac:dyDescent="0.15">
      <c r="A55" s="30" t="s">
        <v>269</v>
      </c>
      <c r="B55" s="11" t="s">
        <v>157</v>
      </c>
      <c r="C55" s="12" t="s">
        <v>365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>L54*1.25</f>
        <v>166015625</v>
      </c>
      <c r="M55" s="43">
        <v>996.09375</v>
      </c>
      <c r="N55" s="43">
        <f t="shared" ref="N55" si="61">N54*1.25</f>
        <v>332031250</v>
      </c>
      <c r="O55" s="43">
        <f t="shared" si="53"/>
        <v>30000</v>
      </c>
      <c r="P55" s="39">
        <f t="shared" si="54"/>
        <v>350</v>
      </c>
      <c r="Q55" s="40">
        <v>0.75</v>
      </c>
      <c r="R55" s="39">
        <f t="shared" si="55"/>
        <v>7020</v>
      </c>
      <c r="S55" s="39">
        <f t="shared" si="55"/>
        <v>100</v>
      </c>
      <c r="T55" s="39">
        <f t="shared" si="55"/>
        <v>200</v>
      </c>
      <c r="U55" s="39">
        <f t="shared" si="55"/>
        <v>100</v>
      </c>
      <c r="V55" s="46">
        <v>10</v>
      </c>
      <c r="W55" s="46">
        <v>2000</v>
      </c>
      <c r="X55" s="46">
        <v>0</v>
      </c>
      <c r="Y55" s="46">
        <v>0</v>
      </c>
    </row>
    <row r="56" spans="1:25" ht="15" x14ac:dyDescent="0.15">
      <c r="A56" s="30" t="s">
        <v>270</v>
      </c>
      <c r="B56" s="11" t="s">
        <v>158</v>
      </c>
      <c r="C56" s="12" t="s">
        <v>365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>L55*1.5</f>
        <v>249023437.5</v>
      </c>
      <c r="M56" s="43">
        <v>1494.140625</v>
      </c>
      <c r="N56" s="43">
        <f t="shared" ref="N56" si="62">N55*1.5</f>
        <v>498046875</v>
      </c>
      <c r="O56" s="43">
        <f t="shared" si="53"/>
        <v>30000</v>
      </c>
      <c r="P56" s="39">
        <f t="shared" si="54"/>
        <v>350</v>
      </c>
      <c r="Q56" s="40">
        <v>0.75</v>
      </c>
      <c r="R56" s="39">
        <f t="shared" si="55"/>
        <v>9126</v>
      </c>
      <c r="S56" s="39">
        <f t="shared" si="55"/>
        <v>100</v>
      </c>
      <c r="T56" s="39">
        <f t="shared" si="55"/>
        <v>200</v>
      </c>
      <c r="U56" s="39">
        <f t="shared" si="55"/>
        <v>110</v>
      </c>
      <c r="V56" s="46">
        <v>10</v>
      </c>
      <c r="W56" s="46">
        <v>2400</v>
      </c>
      <c r="X56" s="46">
        <v>0</v>
      </c>
      <c r="Y56" s="46">
        <v>0</v>
      </c>
    </row>
    <row r="57" spans="1:25" ht="15" x14ac:dyDescent="0.15">
      <c r="A57" s="30" t="s">
        <v>271</v>
      </c>
      <c r="B57" s="11" t="s">
        <v>159</v>
      </c>
      <c r="C57" s="12" t="s">
        <v>365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>L56*1.1</f>
        <v>273925781.25</v>
      </c>
      <c r="M57" s="43">
        <v>1643.5546875000002</v>
      </c>
      <c r="N57" s="43">
        <f t="shared" ref="N57" si="63">N56*1.1</f>
        <v>547851562.5</v>
      </c>
      <c r="O57" s="43">
        <f t="shared" si="53"/>
        <v>30000</v>
      </c>
      <c r="P57" s="39">
        <f t="shared" si="54"/>
        <v>350</v>
      </c>
      <c r="Q57" s="40">
        <v>0.75</v>
      </c>
      <c r="R57" s="39">
        <f t="shared" si="55"/>
        <v>11863.800000000001</v>
      </c>
      <c r="S57" s="39">
        <f t="shared" si="55"/>
        <v>100</v>
      </c>
      <c r="T57" s="39">
        <f t="shared" si="55"/>
        <v>200</v>
      </c>
      <c r="U57" s="39">
        <f t="shared" si="55"/>
        <v>120</v>
      </c>
      <c r="V57" s="46">
        <v>10</v>
      </c>
      <c r="W57" s="46">
        <v>2400</v>
      </c>
      <c r="X57" s="46">
        <v>0</v>
      </c>
      <c r="Y57" s="46">
        <v>0</v>
      </c>
    </row>
    <row r="58" spans="1:25" ht="15" x14ac:dyDescent="0.15">
      <c r="A58" s="30" t="s">
        <v>272</v>
      </c>
      <c r="B58" s="11" t="s">
        <v>160</v>
      </c>
      <c r="C58" s="12" t="s">
        <v>365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>L57*1.4</f>
        <v>383496093.75</v>
      </c>
      <c r="M58" s="43">
        <v>2300.9765625</v>
      </c>
      <c r="N58" s="43">
        <f t="shared" ref="N58" si="64">N57*1.4</f>
        <v>766992187.5</v>
      </c>
      <c r="O58" s="43">
        <f t="shared" si="53"/>
        <v>30000</v>
      </c>
      <c r="P58" s="39">
        <f t="shared" si="54"/>
        <v>350</v>
      </c>
      <c r="Q58" s="40">
        <v>0.75</v>
      </c>
      <c r="R58" s="39">
        <f t="shared" si="55"/>
        <v>14236.560000000001</v>
      </c>
      <c r="S58" s="39">
        <f t="shared" si="55"/>
        <v>100</v>
      </c>
      <c r="T58" s="39">
        <f t="shared" si="55"/>
        <v>200</v>
      </c>
      <c r="U58" s="39">
        <f t="shared" si="55"/>
        <v>130</v>
      </c>
      <c r="V58" s="46">
        <v>10</v>
      </c>
      <c r="W58" s="46">
        <v>2800</v>
      </c>
      <c r="X58" s="46">
        <v>0</v>
      </c>
      <c r="Y58" s="46">
        <v>0</v>
      </c>
    </row>
    <row r="59" spans="1:25" ht="15" x14ac:dyDescent="0.15">
      <c r="A59" s="30" t="s">
        <v>273</v>
      </c>
      <c r="B59" s="11" t="s">
        <v>161</v>
      </c>
      <c r="C59" s="12" t="s">
        <v>365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>L58*1.1</f>
        <v>421845703.12500006</v>
      </c>
      <c r="M59" s="43">
        <v>2531.07421875</v>
      </c>
      <c r="N59" s="43">
        <f t="shared" ref="N59" si="65">N58*1.1</f>
        <v>843691406.25000012</v>
      </c>
      <c r="O59" s="43">
        <f t="shared" si="53"/>
        <v>30000</v>
      </c>
      <c r="P59" s="39">
        <f t="shared" si="54"/>
        <v>350</v>
      </c>
      <c r="Q59" s="40">
        <v>0.75</v>
      </c>
      <c r="R59" s="39">
        <f t="shared" si="55"/>
        <v>17083.871999999999</v>
      </c>
      <c r="S59" s="39">
        <f t="shared" si="55"/>
        <v>100</v>
      </c>
      <c r="T59" s="39">
        <f t="shared" si="55"/>
        <v>200</v>
      </c>
      <c r="U59" s="39">
        <f t="shared" si="55"/>
        <v>140</v>
      </c>
      <c r="V59" s="46">
        <v>10</v>
      </c>
      <c r="W59" s="46">
        <v>2800</v>
      </c>
      <c r="X59" s="46">
        <v>0</v>
      </c>
      <c r="Y59" s="46">
        <v>0</v>
      </c>
    </row>
    <row r="60" spans="1:25" ht="15" x14ac:dyDescent="0.15">
      <c r="A60" s="30" t="s">
        <v>274</v>
      </c>
      <c r="B60" s="11" t="s">
        <v>162</v>
      </c>
      <c r="C60" s="12" t="s">
        <v>365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>L59*1.3</f>
        <v>548399414.06250012</v>
      </c>
      <c r="M60" s="43">
        <v>3290.396484375</v>
      </c>
      <c r="N60" s="43">
        <f t="shared" ref="N60" si="66">N59*1.3</f>
        <v>1096798828.1250002</v>
      </c>
      <c r="O60" s="43">
        <f t="shared" si="53"/>
        <v>30000</v>
      </c>
      <c r="P60" s="39">
        <f t="shared" si="54"/>
        <v>350</v>
      </c>
      <c r="Q60" s="40">
        <v>0.75</v>
      </c>
      <c r="R60" s="39">
        <f t="shared" si="55"/>
        <v>20500.646400000001</v>
      </c>
      <c r="S60" s="39">
        <f t="shared" si="55"/>
        <v>100</v>
      </c>
      <c r="T60" s="39">
        <f t="shared" si="55"/>
        <v>200</v>
      </c>
      <c r="U60" s="39">
        <f t="shared" si="55"/>
        <v>150</v>
      </c>
      <c r="V60" s="46">
        <v>10</v>
      </c>
      <c r="W60" s="46">
        <v>3200</v>
      </c>
      <c r="X60" s="46">
        <v>0</v>
      </c>
      <c r="Y60" s="46">
        <v>0</v>
      </c>
    </row>
    <row r="61" spans="1:25" ht="15" x14ac:dyDescent="0.15">
      <c r="A61" s="30" t="s">
        <v>275</v>
      </c>
      <c r="B61" s="11" t="s">
        <v>163</v>
      </c>
      <c r="C61" s="12" t="s">
        <v>365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>L60*1.1</f>
        <v>603239355.46875024</v>
      </c>
      <c r="M61" s="43">
        <v>3619.4361328125001</v>
      </c>
      <c r="N61" s="43">
        <f t="shared" ref="N61" si="67">N60*1.1</f>
        <v>1206478710.9375005</v>
      </c>
      <c r="O61" s="43">
        <f t="shared" si="53"/>
        <v>30000</v>
      </c>
      <c r="P61" s="39">
        <f t="shared" si="54"/>
        <v>350</v>
      </c>
      <c r="Q61" s="40">
        <v>0.75</v>
      </c>
      <c r="R61" s="39">
        <f t="shared" si="55"/>
        <v>22550.711040000002</v>
      </c>
      <c r="S61" s="39">
        <f t="shared" si="55"/>
        <v>100</v>
      </c>
      <c r="T61" s="39">
        <f t="shared" si="55"/>
        <v>200</v>
      </c>
      <c r="U61" s="39">
        <f t="shared" si="55"/>
        <v>160</v>
      </c>
      <c r="V61" s="46">
        <v>10</v>
      </c>
      <c r="W61" s="46">
        <v>3200</v>
      </c>
      <c r="X61" s="46">
        <v>0</v>
      </c>
      <c r="Y61" s="46">
        <v>0</v>
      </c>
    </row>
    <row r="62" spans="1:25" ht="15" x14ac:dyDescent="0.15">
      <c r="A62" s="30" t="s">
        <v>276</v>
      </c>
      <c r="B62" s="11" t="s">
        <v>164</v>
      </c>
      <c r="C62" s="12" t="s">
        <v>365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>L61*1.3</f>
        <v>784211162.10937536</v>
      </c>
      <c r="M62" s="43">
        <v>4705.2669726562499</v>
      </c>
      <c r="N62" s="43">
        <f t="shared" ref="N62" si="68">N61*1.3</f>
        <v>1568422324.2187507</v>
      </c>
      <c r="O62" s="43">
        <f t="shared" si="53"/>
        <v>30000</v>
      </c>
      <c r="P62" s="39">
        <f t="shared" si="54"/>
        <v>350</v>
      </c>
      <c r="Q62" s="40">
        <v>0.75</v>
      </c>
      <c r="R62" s="39">
        <f t="shared" si="55"/>
        <v>24805.782144000004</v>
      </c>
      <c r="S62" s="39">
        <f t="shared" si="55"/>
        <v>100</v>
      </c>
      <c r="T62" s="39">
        <f t="shared" si="55"/>
        <v>200</v>
      </c>
      <c r="U62" s="39">
        <f t="shared" si="55"/>
        <v>170</v>
      </c>
      <c r="V62" s="46">
        <v>10</v>
      </c>
      <c r="W62" s="46">
        <v>3600</v>
      </c>
      <c r="X62" s="46">
        <v>0</v>
      </c>
      <c r="Y62" s="46">
        <v>0</v>
      </c>
    </row>
    <row r="63" spans="1:25" ht="15" x14ac:dyDescent="0.15">
      <c r="A63" s="30" t="s">
        <v>277</v>
      </c>
      <c r="B63" s="11" t="s">
        <v>165</v>
      </c>
      <c r="C63" s="12" t="s">
        <v>365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>L62*1.1</f>
        <v>862632278.32031298</v>
      </c>
      <c r="M63" s="43">
        <v>5175.7936699218753</v>
      </c>
      <c r="N63" s="43">
        <f t="shared" ref="N63" si="69">N62*1.1</f>
        <v>1725264556.640626</v>
      </c>
      <c r="O63" s="43">
        <f t="shared" ref="L63:O70" si="70">O21*3</f>
        <v>30000</v>
      </c>
      <c r="P63" s="39">
        <f t="shared" si="54"/>
        <v>350</v>
      </c>
      <c r="Q63" s="40">
        <v>0.75</v>
      </c>
      <c r="R63" s="39">
        <f t="shared" ref="R63:U70" si="71">R21</f>
        <v>27286.360358400005</v>
      </c>
      <c r="S63" s="39">
        <f t="shared" si="71"/>
        <v>100</v>
      </c>
      <c r="T63" s="39">
        <f t="shared" si="71"/>
        <v>200</v>
      </c>
      <c r="U63" s="39">
        <f t="shared" si="71"/>
        <v>180</v>
      </c>
      <c r="V63" s="46">
        <v>10</v>
      </c>
      <c r="W63" s="46">
        <v>3600</v>
      </c>
      <c r="X63" s="46">
        <v>0</v>
      </c>
      <c r="Y63" s="46">
        <v>0</v>
      </c>
    </row>
    <row r="64" spans="1:25" ht="15" x14ac:dyDescent="0.15">
      <c r="A64" s="30" t="s">
        <v>278</v>
      </c>
      <c r="B64" s="11" t="s">
        <v>166</v>
      </c>
      <c r="C64" s="12" t="s">
        <v>365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>L63*1.2</f>
        <v>1035158733.9843755</v>
      </c>
      <c r="M64" s="43">
        <v>6210.9524039062499</v>
      </c>
      <c r="N64" s="43">
        <f t="shared" ref="N64" si="72">N63*1.2</f>
        <v>2070317467.968751</v>
      </c>
      <c r="O64" s="43">
        <f t="shared" si="70"/>
        <v>30000</v>
      </c>
      <c r="P64" s="39">
        <f t="shared" si="54"/>
        <v>350</v>
      </c>
      <c r="Q64" s="40">
        <v>0.75</v>
      </c>
      <c r="R64" s="39">
        <f t="shared" si="71"/>
        <v>30014.99639424001</v>
      </c>
      <c r="S64" s="39">
        <f t="shared" si="71"/>
        <v>100</v>
      </c>
      <c r="T64" s="39">
        <f t="shared" si="71"/>
        <v>200</v>
      </c>
      <c r="U64" s="39">
        <f t="shared" si="71"/>
        <v>190</v>
      </c>
      <c r="V64" s="46">
        <v>10</v>
      </c>
      <c r="W64" s="46">
        <v>4000</v>
      </c>
      <c r="X64" s="46">
        <v>5</v>
      </c>
      <c r="Y64" s="46">
        <v>200</v>
      </c>
    </row>
    <row r="65" spans="1:25" ht="15" x14ac:dyDescent="0.15">
      <c r="A65" s="30" t="s">
        <v>279</v>
      </c>
      <c r="B65" s="11" t="s">
        <v>167</v>
      </c>
      <c r="C65" s="12" t="s">
        <v>365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>L64*1.1</f>
        <v>1138674607.3828132</v>
      </c>
      <c r="M65" s="43">
        <v>6832.0476442968757</v>
      </c>
      <c r="N65" s="43">
        <f t="shared" ref="N65" si="73">N64*1.1</f>
        <v>2277349214.7656264</v>
      </c>
      <c r="O65" s="43">
        <f t="shared" si="70"/>
        <v>30000</v>
      </c>
      <c r="P65" s="39">
        <f t="shared" si="54"/>
        <v>350</v>
      </c>
      <c r="Q65" s="40">
        <v>0.75</v>
      </c>
      <c r="R65" s="39">
        <f t="shared" si="71"/>
        <v>33016.496033664014</v>
      </c>
      <c r="S65" s="39">
        <f t="shared" si="71"/>
        <v>100</v>
      </c>
      <c r="T65" s="39">
        <f t="shared" si="71"/>
        <v>200</v>
      </c>
      <c r="U65" s="39">
        <f t="shared" si="71"/>
        <v>200</v>
      </c>
      <c r="V65" s="46">
        <v>10</v>
      </c>
      <c r="W65" s="46">
        <v>4000</v>
      </c>
      <c r="X65" s="46">
        <v>5</v>
      </c>
      <c r="Y65" s="46">
        <v>200</v>
      </c>
    </row>
    <row r="66" spans="1:25" ht="15" x14ac:dyDescent="0.15">
      <c r="A66" s="30" t="s">
        <v>280</v>
      </c>
      <c r="B66" s="11" t="s">
        <v>168</v>
      </c>
      <c r="C66" s="12" t="s">
        <v>365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70"/>
        <v>918219032.1008637</v>
      </c>
      <c r="M66" s="43">
        <v>21790.88738221825</v>
      </c>
      <c r="N66" s="43">
        <f t="shared" si="70"/>
        <v>1089544369.1109126</v>
      </c>
      <c r="O66" s="43">
        <f t="shared" si="70"/>
        <v>30000</v>
      </c>
      <c r="P66" s="39">
        <f t="shared" si="54"/>
        <v>350</v>
      </c>
      <c r="Q66" s="40">
        <v>0.75</v>
      </c>
      <c r="R66" s="39">
        <f t="shared" si="71"/>
        <v>36318.145637030415</v>
      </c>
      <c r="S66" s="39">
        <f t="shared" si="71"/>
        <v>100</v>
      </c>
      <c r="T66" s="39">
        <f t="shared" si="71"/>
        <v>200</v>
      </c>
      <c r="U66" s="39">
        <f t="shared" si="71"/>
        <v>210</v>
      </c>
      <c r="V66" s="46">
        <v>10</v>
      </c>
      <c r="W66" s="46">
        <v>800</v>
      </c>
      <c r="X66" s="46">
        <v>5</v>
      </c>
      <c r="Y66" s="46">
        <v>200</v>
      </c>
    </row>
    <row r="67" spans="1:25" ht="15" x14ac:dyDescent="0.15">
      <c r="A67" s="30" t="s">
        <v>280</v>
      </c>
      <c r="B67" s="11" t="s">
        <v>169</v>
      </c>
      <c r="C67" s="12" t="s">
        <v>365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70"/>
        <v>1101862838.5210364</v>
      </c>
      <c r="M67" s="43">
        <v>23969.976120440078</v>
      </c>
      <c r="N67" s="43">
        <f t="shared" si="70"/>
        <v>1198498806.0220037</v>
      </c>
      <c r="O67" s="43">
        <f t="shared" si="70"/>
        <v>30000</v>
      </c>
      <c r="P67" s="39">
        <f t="shared" si="54"/>
        <v>350</v>
      </c>
      <c r="Q67" s="40">
        <v>0.75</v>
      </c>
      <c r="R67" s="39">
        <f t="shared" si="71"/>
        <v>39949.960200733462</v>
      </c>
      <c r="S67" s="39">
        <f t="shared" si="71"/>
        <v>100</v>
      </c>
      <c r="T67" s="39">
        <f t="shared" si="71"/>
        <v>200</v>
      </c>
      <c r="U67" s="39">
        <f t="shared" si="71"/>
        <v>220</v>
      </c>
      <c r="V67" s="46">
        <v>10</v>
      </c>
      <c r="W67" s="46">
        <v>800</v>
      </c>
      <c r="X67" s="46">
        <v>5</v>
      </c>
      <c r="Y67" s="46">
        <v>200</v>
      </c>
    </row>
    <row r="68" spans="1:25" ht="15" x14ac:dyDescent="0.15">
      <c r="A68" s="30" t="s">
        <v>280</v>
      </c>
      <c r="B68" s="11" t="s">
        <v>170</v>
      </c>
      <c r="C68" s="12" t="s">
        <v>365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70"/>
        <v>1322235406.2252436</v>
      </c>
      <c r="M68" s="43">
        <v>26366.97373248409</v>
      </c>
      <c r="N68" s="43">
        <f t="shared" si="70"/>
        <v>1318348686.6242042</v>
      </c>
      <c r="O68" s="43">
        <f t="shared" si="70"/>
        <v>30000</v>
      </c>
      <c r="P68" s="39">
        <f t="shared" si="54"/>
        <v>350</v>
      </c>
      <c r="Q68" s="40">
        <v>0.75</v>
      </c>
      <c r="R68" s="39">
        <f t="shared" si="71"/>
        <v>43944.956220806809</v>
      </c>
      <c r="S68" s="39">
        <f t="shared" si="71"/>
        <v>100</v>
      </c>
      <c r="T68" s="39">
        <f t="shared" si="71"/>
        <v>200</v>
      </c>
      <c r="U68" s="39">
        <f t="shared" si="71"/>
        <v>230</v>
      </c>
      <c r="V68" s="46">
        <v>10</v>
      </c>
      <c r="W68" s="46">
        <v>800</v>
      </c>
      <c r="X68" s="46">
        <v>5</v>
      </c>
      <c r="Y68" s="46">
        <v>200</v>
      </c>
    </row>
    <row r="69" spans="1:25" ht="15" x14ac:dyDescent="0.15">
      <c r="A69" s="30" t="s">
        <v>280</v>
      </c>
      <c r="B69" s="11" t="s">
        <v>171</v>
      </c>
      <c r="C69" s="12" t="s">
        <v>365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70"/>
        <v>1586682487.4702921</v>
      </c>
      <c r="M69" s="43">
        <v>29003.671105732501</v>
      </c>
      <c r="N69" s="43">
        <f t="shared" si="70"/>
        <v>1450183555.2866247</v>
      </c>
      <c r="O69" s="43">
        <f t="shared" si="70"/>
        <v>30000</v>
      </c>
      <c r="P69" s="39">
        <f t="shared" si="54"/>
        <v>350</v>
      </c>
      <c r="Q69" s="40">
        <v>0.75</v>
      </c>
      <c r="R69" s="39">
        <f t="shared" si="71"/>
        <v>48339.451842887494</v>
      </c>
      <c r="S69" s="39">
        <f t="shared" si="71"/>
        <v>100</v>
      </c>
      <c r="T69" s="39">
        <f t="shared" si="71"/>
        <v>200</v>
      </c>
      <c r="U69" s="39">
        <f t="shared" si="71"/>
        <v>240</v>
      </c>
      <c r="V69" s="46">
        <v>10</v>
      </c>
      <c r="W69" s="46">
        <v>800</v>
      </c>
      <c r="X69" s="46">
        <v>5</v>
      </c>
      <c r="Y69" s="46">
        <v>200</v>
      </c>
    </row>
    <row r="70" spans="1:25" ht="15" x14ac:dyDescent="0.15">
      <c r="A70" s="30" t="s">
        <v>280</v>
      </c>
      <c r="B70" s="11" t="s">
        <v>172</v>
      </c>
      <c r="C70" s="12" t="s">
        <v>365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>L28*3</f>
        <v>1904018984.9643507</v>
      </c>
      <c r="M70" s="43">
        <v>31904.038216305751</v>
      </c>
      <c r="N70" s="43">
        <f t="shared" si="70"/>
        <v>1595201910.8152874</v>
      </c>
      <c r="O70" s="43">
        <f t="shared" si="70"/>
        <v>30000</v>
      </c>
      <c r="P70" s="39">
        <f t="shared" si="54"/>
        <v>350</v>
      </c>
      <c r="Q70" s="40">
        <v>0.75</v>
      </c>
      <c r="R70" s="39">
        <f t="shared" si="71"/>
        <v>53173.397027176245</v>
      </c>
      <c r="S70" s="39">
        <f t="shared" si="71"/>
        <v>100</v>
      </c>
      <c r="T70" s="39">
        <f t="shared" si="71"/>
        <v>200</v>
      </c>
      <c r="U70" s="39">
        <f t="shared" si="71"/>
        <v>250</v>
      </c>
      <c r="V70" s="46">
        <v>10</v>
      </c>
      <c r="W70" s="46">
        <v>800</v>
      </c>
      <c r="X70" s="46">
        <v>5</v>
      </c>
      <c r="Y70" s="46">
        <v>200</v>
      </c>
    </row>
    <row r="71" spans="1:25" ht="15" x14ac:dyDescent="0.15">
      <c r="A71" s="30" t="s">
        <v>366</v>
      </c>
      <c r="B71" s="11" t="s">
        <v>173</v>
      </c>
      <c r="C71" s="12" t="s">
        <v>365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v>17578125</v>
      </c>
      <c r="M71" s="43">
        <v>143.0511474609375</v>
      </c>
      <c r="N71" s="43">
        <v>35762786.865234375</v>
      </c>
      <c r="O71" s="43">
        <f>O48</f>
        <v>300</v>
      </c>
      <c r="P71" s="43">
        <f t="shared" ref="P71:U71" si="74">P48</f>
        <v>350</v>
      </c>
      <c r="Q71" s="40">
        <v>0.75</v>
      </c>
      <c r="R71" s="43">
        <f t="shared" si="74"/>
        <v>200</v>
      </c>
      <c r="S71" s="43">
        <f t="shared" si="74"/>
        <v>1</v>
      </c>
      <c r="T71" s="43">
        <f t="shared" si="74"/>
        <v>200</v>
      </c>
      <c r="U71" s="43">
        <f t="shared" si="74"/>
        <v>30</v>
      </c>
      <c r="V71" s="46">
        <v>10</v>
      </c>
      <c r="W71" s="46">
        <v>800</v>
      </c>
      <c r="X71" s="46">
        <v>0</v>
      </c>
      <c r="Y71" s="46">
        <v>0</v>
      </c>
    </row>
    <row r="72" spans="1:25" ht="15" x14ac:dyDescent="0.15">
      <c r="A72" s="30" t="s">
        <v>282</v>
      </c>
      <c r="B72" s="11" t="s">
        <v>174</v>
      </c>
      <c r="C72" s="12" t="s">
        <v>365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L54*0.9</f>
        <v>119531250</v>
      </c>
      <c r="M72" s="43">
        <v>717.1875</v>
      </c>
      <c r="N72" s="43">
        <f t="shared" ref="N72" si="75">N54*0.9</f>
        <v>239062500</v>
      </c>
      <c r="O72" s="43">
        <f>O51</f>
        <v>30000</v>
      </c>
      <c r="P72" s="43">
        <f t="shared" ref="P72:T72" si="76">P51</f>
        <v>350</v>
      </c>
      <c r="Q72" s="40">
        <v>0.75</v>
      </c>
      <c r="R72" s="43">
        <f t="shared" si="76"/>
        <v>1600</v>
      </c>
      <c r="S72" s="43">
        <f t="shared" si="76"/>
        <v>100</v>
      </c>
      <c r="T72" s="43">
        <f t="shared" si="76"/>
        <v>200</v>
      </c>
      <c r="U72" s="43">
        <v>100</v>
      </c>
      <c r="V72" s="46">
        <v>10</v>
      </c>
      <c r="W72" s="46">
        <v>2000</v>
      </c>
      <c r="X72" s="46">
        <v>0</v>
      </c>
      <c r="Y72" s="46">
        <v>0</v>
      </c>
    </row>
    <row r="73" spans="1:25" ht="15" x14ac:dyDescent="0.15">
      <c r="A73" s="30" t="s">
        <v>283</v>
      </c>
      <c r="B73" s="11" t="s">
        <v>175</v>
      </c>
      <c r="C73" s="12" t="s">
        <v>365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L61*0.9</f>
        <v>542915419.92187524</v>
      </c>
      <c r="M73" s="43">
        <v>3257.4925195312503</v>
      </c>
      <c r="N73" s="43">
        <f t="shared" ref="N73" si="77">N61*0.9</f>
        <v>1085830839.8437505</v>
      </c>
      <c r="O73" s="43">
        <f>O55</f>
        <v>30000</v>
      </c>
      <c r="P73" s="43">
        <f t="shared" ref="P73:U73" si="78">P55</f>
        <v>350</v>
      </c>
      <c r="Q73" s="40">
        <v>0.75</v>
      </c>
      <c r="R73" s="43">
        <f t="shared" si="78"/>
        <v>7020</v>
      </c>
      <c r="S73" s="43">
        <f t="shared" si="78"/>
        <v>100</v>
      </c>
      <c r="T73" s="43">
        <f t="shared" si="78"/>
        <v>200</v>
      </c>
      <c r="U73" s="43">
        <f t="shared" si="78"/>
        <v>100</v>
      </c>
      <c r="V73" s="46">
        <v>10</v>
      </c>
      <c r="W73" s="46">
        <v>3200</v>
      </c>
      <c r="X73" s="46">
        <v>0</v>
      </c>
      <c r="Y73" s="46">
        <v>0</v>
      </c>
    </row>
    <row r="74" spans="1:25" ht="15" x14ac:dyDescent="0.15">
      <c r="A74" s="30" t="s">
        <v>284</v>
      </c>
      <c r="B74" s="11" t="s">
        <v>176</v>
      </c>
      <c r="C74" s="12" t="s">
        <v>365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L65*0.9</f>
        <v>1024807146.644532</v>
      </c>
      <c r="M74" s="43">
        <v>6148.8428798671885</v>
      </c>
      <c r="N74" s="43">
        <f t="shared" ref="N74" si="79">N65*0.9</f>
        <v>2049614293.2890639</v>
      </c>
      <c r="O74" s="43">
        <f>O60*1</f>
        <v>30000</v>
      </c>
      <c r="P74" s="43">
        <f t="shared" ref="P74:U74" si="80">P60*1</f>
        <v>350</v>
      </c>
      <c r="Q74" s="40">
        <v>0.75</v>
      </c>
      <c r="R74" s="43">
        <f t="shared" si="80"/>
        <v>20500.646400000001</v>
      </c>
      <c r="S74" s="43">
        <f t="shared" si="80"/>
        <v>100</v>
      </c>
      <c r="T74" s="43">
        <f t="shared" si="80"/>
        <v>200</v>
      </c>
      <c r="U74" s="43">
        <f t="shared" si="80"/>
        <v>150</v>
      </c>
      <c r="V74" s="46">
        <v>10</v>
      </c>
      <c r="W74" s="46">
        <v>4000</v>
      </c>
      <c r="X74" s="46">
        <v>5</v>
      </c>
      <c r="Y74" s="46">
        <v>200</v>
      </c>
    </row>
    <row r="75" spans="1:25" ht="15" x14ac:dyDescent="0.15">
      <c r="A75" s="30" t="s">
        <v>285</v>
      </c>
      <c r="B75" s="11" t="s">
        <v>177</v>
      </c>
      <c r="C75" s="12" t="s">
        <v>365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v>39062500</v>
      </c>
      <c r="M75" s="43">
        <v>234.375</v>
      </c>
      <c r="N75" s="43">
        <v>78125000</v>
      </c>
      <c r="O75" s="43">
        <f>O49*1</f>
        <v>3000</v>
      </c>
      <c r="P75" s="43">
        <f t="shared" ref="P75:U75" si="81">P49*1</f>
        <v>350</v>
      </c>
      <c r="Q75" s="40">
        <v>0.75</v>
      </c>
      <c r="R75" s="43">
        <f t="shared" si="81"/>
        <v>400</v>
      </c>
      <c r="S75" s="43">
        <f t="shared" si="81"/>
        <v>10</v>
      </c>
      <c r="T75" s="43">
        <f t="shared" si="81"/>
        <v>200</v>
      </c>
      <c r="U75" s="43">
        <f t="shared" si="81"/>
        <v>40</v>
      </c>
      <c r="V75" s="46">
        <v>10</v>
      </c>
      <c r="W75" s="46">
        <v>1200</v>
      </c>
      <c r="X75" s="46">
        <v>0</v>
      </c>
      <c r="Y75" s="46">
        <v>0</v>
      </c>
    </row>
    <row r="76" spans="1:25" ht="15" x14ac:dyDescent="0.15">
      <c r="A76" s="30" t="s">
        <v>286</v>
      </c>
      <c r="B76" s="11" t="s">
        <v>178</v>
      </c>
      <c r="C76" s="12" t="s">
        <v>365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L55*1.1</f>
        <v>182617187.5</v>
      </c>
      <c r="M76" s="43">
        <v>1095.703125</v>
      </c>
      <c r="N76" s="43">
        <f t="shared" ref="N76" si="82">N55*1.1</f>
        <v>365234375</v>
      </c>
      <c r="O76" s="43">
        <f>O53*1</f>
        <v>30000</v>
      </c>
      <c r="P76" s="43">
        <f t="shared" ref="P76:T76" si="83">P53*1</f>
        <v>350</v>
      </c>
      <c r="Q76" s="40">
        <v>0.75</v>
      </c>
      <c r="R76" s="43">
        <f t="shared" si="83"/>
        <v>3600</v>
      </c>
      <c r="S76" s="43">
        <f t="shared" si="83"/>
        <v>100</v>
      </c>
      <c r="T76" s="43">
        <f t="shared" si="83"/>
        <v>200</v>
      </c>
      <c r="U76" s="43">
        <v>125</v>
      </c>
      <c r="V76" s="46">
        <v>10</v>
      </c>
      <c r="W76" s="46">
        <v>2200</v>
      </c>
      <c r="X76" s="46">
        <v>0</v>
      </c>
      <c r="Y76" s="46">
        <v>0</v>
      </c>
    </row>
    <row r="77" spans="1:25" ht="15" x14ac:dyDescent="0.15">
      <c r="A77" s="30" t="s">
        <v>287</v>
      </c>
      <c r="B77" s="11" t="s">
        <v>179</v>
      </c>
      <c r="C77" s="12" t="s">
        <v>365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L63*0.9</f>
        <v>776369050.48828173</v>
      </c>
      <c r="M77" s="43">
        <v>4658.2143029296876</v>
      </c>
      <c r="N77" s="43">
        <f t="shared" ref="N77" si="84">N63*0.9</f>
        <v>1552738100.9765635</v>
      </c>
      <c r="O77" s="43">
        <f>O58</f>
        <v>30000</v>
      </c>
      <c r="P77" s="43">
        <f t="shared" ref="P77:U77" si="85">P58</f>
        <v>350</v>
      </c>
      <c r="Q77" s="40">
        <v>0.75</v>
      </c>
      <c r="R77" s="43">
        <f t="shared" si="85"/>
        <v>14236.560000000001</v>
      </c>
      <c r="S77" s="43">
        <f t="shared" si="85"/>
        <v>100</v>
      </c>
      <c r="T77" s="43">
        <f t="shared" si="85"/>
        <v>200</v>
      </c>
      <c r="U77" s="43">
        <f t="shared" si="85"/>
        <v>130</v>
      </c>
      <c r="V77" s="46">
        <v>10</v>
      </c>
      <c r="W77" s="46">
        <v>3200</v>
      </c>
      <c r="X77" s="46">
        <v>0</v>
      </c>
      <c r="Y77" s="46">
        <v>0</v>
      </c>
    </row>
    <row r="78" spans="1:25" ht="15" x14ac:dyDescent="0.15">
      <c r="A78" s="30" t="s">
        <v>288</v>
      </c>
      <c r="B78" s="11" t="s">
        <v>180</v>
      </c>
      <c r="C78" s="12" t="s">
        <v>365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L65*1.2</f>
        <v>1366409528.8593757</v>
      </c>
      <c r="M78" s="43">
        <v>8198.4571731562501</v>
      </c>
      <c r="N78" s="43">
        <f t="shared" ref="N78" si="86">N65*1.2</f>
        <v>2732819057.7187514</v>
      </c>
      <c r="O78" s="43">
        <f>O64</f>
        <v>30000</v>
      </c>
      <c r="P78" s="43">
        <f t="shared" ref="P78:U78" si="87">P64</f>
        <v>350</v>
      </c>
      <c r="Q78" s="40">
        <v>0.75</v>
      </c>
      <c r="R78" s="43">
        <f t="shared" si="87"/>
        <v>30014.99639424001</v>
      </c>
      <c r="S78" s="43">
        <f t="shared" si="87"/>
        <v>100</v>
      </c>
      <c r="T78" s="43">
        <f t="shared" si="87"/>
        <v>200</v>
      </c>
      <c r="U78" s="43">
        <f t="shared" si="87"/>
        <v>190</v>
      </c>
      <c r="V78" s="46">
        <v>10</v>
      </c>
      <c r="W78" s="46">
        <v>4800</v>
      </c>
      <c r="X78" s="46">
        <v>5</v>
      </c>
      <c r="Y78" s="46">
        <v>200</v>
      </c>
    </row>
    <row r="79" spans="1:25" ht="15" x14ac:dyDescent="0.15">
      <c r="A79" s="30" t="s">
        <v>289</v>
      </c>
      <c r="B79" s="11" t="s">
        <v>181</v>
      </c>
      <c r="C79" s="12" t="s">
        <v>365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L76*0.95</f>
        <v>173486328.125</v>
      </c>
      <c r="M79" s="43">
        <v>1040.91796875</v>
      </c>
      <c r="N79" s="43">
        <f t="shared" ref="N79" si="88">N76*0.95</f>
        <v>346972656.25</v>
      </c>
      <c r="O79" s="43">
        <f>O50*1</f>
        <v>3000</v>
      </c>
      <c r="P79" s="43">
        <f t="shared" ref="P79:T79" si="89">P50*1</f>
        <v>350</v>
      </c>
      <c r="Q79" s="40">
        <v>0.75</v>
      </c>
      <c r="R79" s="43">
        <f t="shared" si="89"/>
        <v>800</v>
      </c>
      <c r="S79" s="43">
        <f t="shared" si="89"/>
        <v>10</v>
      </c>
      <c r="T79" s="43">
        <f t="shared" si="89"/>
        <v>200</v>
      </c>
      <c r="U79" s="43">
        <v>100</v>
      </c>
      <c r="V79" s="46">
        <v>10</v>
      </c>
      <c r="W79" s="46">
        <v>2000</v>
      </c>
      <c r="X79" s="46">
        <v>0</v>
      </c>
      <c r="Y79" s="46">
        <v>0</v>
      </c>
    </row>
    <row r="80" spans="1:25" ht="15" x14ac:dyDescent="0.15">
      <c r="A80" s="30" t="s">
        <v>290</v>
      </c>
      <c r="B80" s="11" t="s">
        <v>182</v>
      </c>
      <c r="C80" s="12" t="s">
        <v>365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L57*1.1</f>
        <v>301318359.375</v>
      </c>
      <c r="M80" s="43">
        <v>1807.9101562500005</v>
      </c>
      <c r="N80" s="43">
        <f t="shared" ref="N80" si="90">N57*1.1</f>
        <v>602636718.75</v>
      </c>
      <c r="O80" s="43">
        <f>O52*1</f>
        <v>30000</v>
      </c>
      <c r="P80" s="43">
        <f t="shared" ref="P80:U88" si="91">P52*1</f>
        <v>350</v>
      </c>
      <c r="Q80" s="40">
        <v>0.75</v>
      </c>
      <c r="R80" s="43">
        <f t="shared" si="91"/>
        <v>2400</v>
      </c>
      <c r="S80" s="43">
        <f t="shared" si="91"/>
        <v>100</v>
      </c>
      <c r="T80" s="43">
        <f t="shared" si="91"/>
        <v>200</v>
      </c>
      <c r="U80" s="43">
        <v>150</v>
      </c>
      <c r="V80" s="46">
        <v>10</v>
      </c>
      <c r="W80" s="46">
        <v>2400</v>
      </c>
      <c r="X80" s="46">
        <v>0</v>
      </c>
      <c r="Y80" s="46">
        <v>0</v>
      </c>
    </row>
    <row r="81" spans="1:25" ht="15" x14ac:dyDescent="0.15">
      <c r="A81" s="30" t="s">
        <v>291</v>
      </c>
      <c r="B81" s="11" t="s">
        <v>183</v>
      </c>
      <c r="C81" s="12" t="s">
        <v>365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L59*1.1</f>
        <v>464030273.43750012</v>
      </c>
      <c r="M81" s="43">
        <v>2784.181640625</v>
      </c>
      <c r="N81" s="43">
        <f t="shared" ref="N81" si="92">N59*1.1</f>
        <v>928060546.87500024</v>
      </c>
      <c r="O81" s="43">
        <f t="shared" ref="O81:O88" si="93">O53*1</f>
        <v>30000</v>
      </c>
      <c r="P81" s="43">
        <f t="shared" si="91"/>
        <v>350</v>
      </c>
      <c r="Q81" s="40">
        <v>0.75</v>
      </c>
      <c r="R81" s="43">
        <f t="shared" si="91"/>
        <v>3600</v>
      </c>
      <c r="S81" s="43">
        <f t="shared" si="91"/>
        <v>100</v>
      </c>
      <c r="T81" s="43">
        <f t="shared" si="91"/>
        <v>200</v>
      </c>
      <c r="U81" s="43">
        <f t="shared" si="91"/>
        <v>80</v>
      </c>
      <c r="V81" s="46">
        <v>10</v>
      </c>
      <c r="W81" s="46">
        <v>2800</v>
      </c>
      <c r="X81" s="46">
        <v>0</v>
      </c>
      <c r="Y81" s="46">
        <v>0</v>
      </c>
    </row>
    <row r="82" spans="1:25" ht="15" x14ac:dyDescent="0.15">
      <c r="A82" s="30" t="s">
        <v>292</v>
      </c>
      <c r="B82" s="11" t="s">
        <v>184</v>
      </c>
      <c r="C82" s="12" t="s">
        <v>365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L61*1.1</f>
        <v>663563291.01562536</v>
      </c>
      <c r="M82" s="43">
        <v>3981.3797460937503</v>
      </c>
      <c r="N82" s="43">
        <f t="shared" ref="N82" si="94">N61*1.1</f>
        <v>1327126582.0312507</v>
      </c>
      <c r="O82" s="43">
        <f t="shared" si="93"/>
        <v>30000</v>
      </c>
      <c r="P82" s="43">
        <f t="shared" si="91"/>
        <v>350</v>
      </c>
      <c r="Q82" s="40">
        <v>0.75</v>
      </c>
      <c r="R82" s="43">
        <f t="shared" si="91"/>
        <v>5400</v>
      </c>
      <c r="S82" s="43">
        <f t="shared" si="91"/>
        <v>100</v>
      </c>
      <c r="T82" s="43">
        <f t="shared" si="91"/>
        <v>200</v>
      </c>
      <c r="U82" s="43">
        <f t="shared" si="91"/>
        <v>90</v>
      </c>
      <c r="V82" s="46">
        <v>10</v>
      </c>
      <c r="W82" s="46">
        <v>3200</v>
      </c>
      <c r="X82" s="46">
        <v>0</v>
      </c>
      <c r="Y82" s="46">
        <v>0</v>
      </c>
    </row>
    <row r="83" spans="1:25" ht="15" x14ac:dyDescent="0.15">
      <c r="A83" s="30" t="s">
        <v>293</v>
      </c>
      <c r="B83" s="11" t="s">
        <v>185</v>
      </c>
      <c r="C83" s="12" t="s">
        <v>365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L63*1.1</f>
        <v>948895506.15234435</v>
      </c>
      <c r="M83" s="43">
        <v>5693.3730369140631</v>
      </c>
      <c r="N83" s="43">
        <f t="shared" ref="N83" si="95">N63*1.1</f>
        <v>1897791012.3046887</v>
      </c>
      <c r="O83" s="43">
        <f t="shared" si="93"/>
        <v>30000</v>
      </c>
      <c r="P83" s="43">
        <f t="shared" si="91"/>
        <v>350</v>
      </c>
      <c r="Q83" s="40">
        <v>0.75</v>
      </c>
      <c r="R83" s="43">
        <f t="shared" si="91"/>
        <v>7020</v>
      </c>
      <c r="S83" s="43">
        <f t="shared" si="91"/>
        <v>100</v>
      </c>
      <c r="T83" s="43">
        <f t="shared" si="91"/>
        <v>200</v>
      </c>
      <c r="U83" s="43">
        <f t="shared" si="91"/>
        <v>100</v>
      </c>
      <c r="V83" s="46">
        <v>10</v>
      </c>
      <c r="W83" s="46">
        <v>3600</v>
      </c>
      <c r="X83" s="46">
        <v>0</v>
      </c>
      <c r="Y83" s="46">
        <v>0</v>
      </c>
    </row>
    <row r="84" spans="1:25" ht="15" x14ac:dyDescent="0.15">
      <c r="A84" s="30" t="s">
        <v>294</v>
      </c>
      <c r="B84" s="11" t="s">
        <v>186</v>
      </c>
      <c r="C84" s="12" t="s">
        <v>365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L65*1.05</f>
        <v>1195608337.7519538</v>
      </c>
      <c r="M84" s="43">
        <v>7173.6500265117202</v>
      </c>
      <c r="N84" s="43">
        <f t="shared" ref="N84" si="96">N65*1.05</f>
        <v>2391216675.5039077</v>
      </c>
      <c r="O84" s="43">
        <f t="shared" si="93"/>
        <v>30000</v>
      </c>
      <c r="P84" s="43">
        <f t="shared" si="91"/>
        <v>350</v>
      </c>
      <c r="Q84" s="40">
        <v>0.75</v>
      </c>
      <c r="R84" s="43">
        <f t="shared" si="91"/>
        <v>9126</v>
      </c>
      <c r="S84" s="43">
        <f t="shared" si="91"/>
        <v>100</v>
      </c>
      <c r="T84" s="43">
        <f t="shared" si="91"/>
        <v>200</v>
      </c>
      <c r="U84" s="43">
        <f t="shared" si="91"/>
        <v>110</v>
      </c>
      <c r="V84" s="46">
        <v>10</v>
      </c>
      <c r="W84" s="46">
        <v>4000</v>
      </c>
      <c r="X84" s="46">
        <v>5</v>
      </c>
      <c r="Y84" s="46">
        <v>200</v>
      </c>
    </row>
    <row r="85" spans="1:25" ht="15" x14ac:dyDescent="0.15">
      <c r="A85" s="30" t="s">
        <v>295</v>
      </c>
      <c r="B85" s="11" t="s">
        <v>215</v>
      </c>
      <c r="C85" s="12" t="s">
        <v>365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L84*1.05</f>
        <v>1255388754.6395516</v>
      </c>
      <c r="M85" s="43">
        <v>7532.3325278373068</v>
      </c>
      <c r="N85" s="43">
        <f t="shared" ref="N85" si="97">N84*1.05</f>
        <v>2510777509.2791033</v>
      </c>
      <c r="O85" s="43">
        <f t="shared" si="93"/>
        <v>30000</v>
      </c>
      <c r="P85" s="43">
        <f t="shared" si="91"/>
        <v>350</v>
      </c>
      <c r="Q85" s="40">
        <v>0.75</v>
      </c>
      <c r="R85" s="43">
        <f t="shared" si="91"/>
        <v>11863.800000000001</v>
      </c>
      <c r="S85" s="43">
        <f t="shared" si="91"/>
        <v>100</v>
      </c>
      <c r="T85" s="43">
        <f t="shared" si="91"/>
        <v>200</v>
      </c>
      <c r="U85" s="43">
        <f t="shared" si="91"/>
        <v>120</v>
      </c>
      <c r="V85" s="46">
        <v>10</v>
      </c>
      <c r="W85" s="46">
        <v>4400</v>
      </c>
      <c r="X85" s="46">
        <v>5</v>
      </c>
      <c r="Y85" s="46">
        <v>200</v>
      </c>
    </row>
    <row r="86" spans="1:25" ht="15" x14ac:dyDescent="0.15">
      <c r="A86" s="30" t="s">
        <v>296</v>
      </c>
      <c r="B86" s="11" t="s">
        <v>216</v>
      </c>
      <c r="C86" s="12" t="s">
        <v>365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 t="shared" ref="L86:L88" si="98">L85*1.05</f>
        <v>1318158192.3715293</v>
      </c>
      <c r="M86" s="43">
        <v>7908.9491542291726</v>
      </c>
      <c r="N86" s="43">
        <f t="shared" ref="N86:N88" si="99">N85*1.05</f>
        <v>2636316384.7430587</v>
      </c>
      <c r="O86" s="43">
        <f t="shared" si="93"/>
        <v>30000</v>
      </c>
      <c r="P86" s="43">
        <f t="shared" si="91"/>
        <v>350</v>
      </c>
      <c r="Q86" s="40">
        <v>0.75</v>
      </c>
      <c r="R86" s="43">
        <f t="shared" si="91"/>
        <v>14236.560000000001</v>
      </c>
      <c r="S86" s="43">
        <f t="shared" si="91"/>
        <v>100</v>
      </c>
      <c r="T86" s="43">
        <f t="shared" si="91"/>
        <v>200</v>
      </c>
      <c r="U86" s="43">
        <f t="shared" si="91"/>
        <v>130</v>
      </c>
      <c r="V86" s="46">
        <v>10</v>
      </c>
      <c r="W86" s="46">
        <v>4800</v>
      </c>
      <c r="X86" s="46">
        <v>5</v>
      </c>
      <c r="Y86" s="46">
        <v>200</v>
      </c>
    </row>
    <row r="87" spans="1:25" ht="15" x14ac:dyDescent="0.15">
      <c r="A87" s="30" t="s">
        <v>297</v>
      </c>
      <c r="B87" s="11" t="s">
        <v>217</v>
      </c>
      <c r="C87" s="12" t="s">
        <v>365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 t="shared" si="98"/>
        <v>1384066101.9901059</v>
      </c>
      <c r="M87" s="43">
        <v>8304.3966119406323</v>
      </c>
      <c r="N87" s="43">
        <f t="shared" si="99"/>
        <v>2768132203.9802117</v>
      </c>
      <c r="O87" s="43">
        <f t="shared" si="93"/>
        <v>30000</v>
      </c>
      <c r="P87" s="43">
        <f t="shared" si="91"/>
        <v>350</v>
      </c>
      <c r="Q87" s="40">
        <v>0.75</v>
      </c>
      <c r="R87" s="43">
        <f t="shared" si="91"/>
        <v>17083.871999999999</v>
      </c>
      <c r="S87" s="43">
        <f t="shared" si="91"/>
        <v>100</v>
      </c>
      <c r="T87" s="43">
        <f t="shared" si="91"/>
        <v>200</v>
      </c>
      <c r="U87" s="43">
        <f t="shared" si="91"/>
        <v>140</v>
      </c>
      <c r="V87" s="46">
        <v>10</v>
      </c>
      <c r="W87" s="46">
        <v>5200</v>
      </c>
      <c r="X87" s="46">
        <v>5</v>
      </c>
      <c r="Y87" s="46">
        <v>200</v>
      </c>
    </row>
    <row r="88" spans="1:25" ht="15" x14ac:dyDescent="0.15">
      <c r="A88" s="30" t="s">
        <v>298</v>
      </c>
      <c r="B88" s="11" t="s">
        <v>220</v>
      </c>
      <c r="C88" s="12" t="s">
        <v>365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 t="shared" si="98"/>
        <v>1453269407.0896113</v>
      </c>
      <c r="M88" s="43">
        <v>8719.6164425376646</v>
      </c>
      <c r="N88" s="43">
        <f t="shared" si="99"/>
        <v>2906538814.1792226</v>
      </c>
      <c r="O88" s="43">
        <f t="shared" si="93"/>
        <v>30000</v>
      </c>
      <c r="P88" s="43">
        <f t="shared" si="91"/>
        <v>350</v>
      </c>
      <c r="Q88" s="40">
        <v>0.75</v>
      </c>
      <c r="R88" s="43">
        <f t="shared" si="91"/>
        <v>20500.646400000001</v>
      </c>
      <c r="S88" s="43">
        <f t="shared" si="91"/>
        <v>100</v>
      </c>
      <c r="T88" s="43">
        <f t="shared" si="91"/>
        <v>200</v>
      </c>
      <c r="U88" s="43">
        <f t="shared" si="91"/>
        <v>150</v>
      </c>
      <c r="V88" s="46">
        <v>10</v>
      </c>
      <c r="W88" s="46">
        <v>6000</v>
      </c>
      <c r="X88" s="46">
        <v>5</v>
      </c>
      <c r="Y88" s="46">
        <v>200</v>
      </c>
    </row>
    <row r="89" spans="1:25" ht="15" x14ac:dyDescent="0.15">
      <c r="A89" s="30" t="s">
        <v>299</v>
      </c>
      <c r="B89" s="11" t="s">
        <v>221</v>
      </c>
      <c r="C89" s="12" t="s">
        <v>365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182617187.5</v>
      </c>
      <c r="M89" s="43">
        <v>1095.703125</v>
      </c>
      <c r="N89" s="43">
        <f>N55*1.1</f>
        <v>365234375</v>
      </c>
      <c r="O89" s="43">
        <f>O55*1</f>
        <v>30000</v>
      </c>
      <c r="P89" s="43">
        <f t="shared" ref="P89:Y89" si="100">P55*1</f>
        <v>350</v>
      </c>
      <c r="Q89" s="43">
        <f t="shared" si="100"/>
        <v>0.75</v>
      </c>
      <c r="R89" s="43">
        <f t="shared" si="100"/>
        <v>7020</v>
      </c>
      <c r="S89" s="43">
        <f t="shared" si="100"/>
        <v>100</v>
      </c>
      <c r="T89" s="43">
        <f t="shared" si="100"/>
        <v>200</v>
      </c>
      <c r="U89" s="43">
        <f t="shared" si="100"/>
        <v>100</v>
      </c>
      <c r="V89" s="43">
        <v>10</v>
      </c>
      <c r="W89" s="43">
        <v>2000</v>
      </c>
      <c r="X89" s="43">
        <f t="shared" si="100"/>
        <v>0</v>
      </c>
      <c r="Y89" s="43">
        <f t="shared" si="100"/>
        <v>0</v>
      </c>
    </row>
    <row r="90" spans="1:25" ht="15" x14ac:dyDescent="0.15">
      <c r="A90" s="30" t="s">
        <v>300</v>
      </c>
      <c r="B90" s="11" t="s">
        <v>222</v>
      </c>
      <c r="C90" s="12" t="s">
        <v>365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464030273.43750012</v>
      </c>
      <c r="M90" s="43">
        <v>2784.181640625</v>
      </c>
      <c r="N90" s="43">
        <f>N59*1.1</f>
        <v>928060546.87500024</v>
      </c>
      <c r="O90" s="43">
        <f>O59*1</f>
        <v>30000</v>
      </c>
      <c r="P90" s="43">
        <f t="shared" ref="P90:Y90" si="101">P59*1</f>
        <v>350</v>
      </c>
      <c r="Q90" s="43">
        <f t="shared" si="101"/>
        <v>0.75</v>
      </c>
      <c r="R90" s="43">
        <f t="shared" si="101"/>
        <v>17083.871999999999</v>
      </c>
      <c r="S90" s="43">
        <f t="shared" si="101"/>
        <v>100</v>
      </c>
      <c r="T90" s="43">
        <f t="shared" si="101"/>
        <v>200</v>
      </c>
      <c r="U90" s="43">
        <f t="shared" si="101"/>
        <v>140</v>
      </c>
      <c r="V90" s="43">
        <v>10</v>
      </c>
      <c r="W90" s="43">
        <v>2800</v>
      </c>
      <c r="X90" s="43">
        <f t="shared" si="101"/>
        <v>0</v>
      </c>
      <c r="Y90" s="43">
        <f t="shared" si="101"/>
        <v>0</v>
      </c>
    </row>
    <row r="91" spans="1:25" ht="15" x14ac:dyDescent="0.15">
      <c r="A91" s="30" t="s">
        <v>301</v>
      </c>
      <c r="B91" s="11" t="s">
        <v>223</v>
      </c>
      <c r="C91" s="12" t="s">
        <v>365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948895506.15234435</v>
      </c>
      <c r="M91" s="43">
        <v>5693.3730369140631</v>
      </c>
      <c r="N91" s="43">
        <f>N63*1.1</f>
        <v>1897791012.3046887</v>
      </c>
      <c r="O91" s="43">
        <f>O63*1</f>
        <v>30000</v>
      </c>
      <c r="P91" s="43">
        <f t="shared" ref="P91:Y91" si="102">P63*1</f>
        <v>350</v>
      </c>
      <c r="Q91" s="43">
        <f t="shared" si="102"/>
        <v>0.75</v>
      </c>
      <c r="R91" s="43">
        <f t="shared" si="102"/>
        <v>27286.360358400005</v>
      </c>
      <c r="S91" s="43">
        <f t="shared" si="102"/>
        <v>100</v>
      </c>
      <c r="T91" s="43">
        <f t="shared" si="102"/>
        <v>200</v>
      </c>
      <c r="U91" s="43">
        <f t="shared" si="102"/>
        <v>180</v>
      </c>
      <c r="V91" s="43">
        <v>10</v>
      </c>
      <c r="W91" s="43">
        <v>3600</v>
      </c>
      <c r="X91" s="43">
        <f t="shared" si="102"/>
        <v>0</v>
      </c>
      <c r="Y91" s="43">
        <f t="shared" si="102"/>
        <v>0</v>
      </c>
    </row>
    <row r="92" spans="1:25" ht="15" x14ac:dyDescent="0.15">
      <c r="A92" s="30" t="s">
        <v>302</v>
      </c>
      <c r="B92" s="11" t="s">
        <v>224</v>
      </c>
      <c r="C92" s="12" t="s">
        <v>365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1745350736.2173214</v>
      </c>
      <c r="M92" s="43">
        <v>31904.038216305755</v>
      </c>
      <c r="N92" s="43">
        <f>N69*1.1</f>
        <v>1595201910.8152874</v>
      </c>
      <c r="O92" s="43">
        <f>O69*1</f>
        <v>30000</v>
      </c>
      <c r="P92" s="43">
        <f t="shared" ref="P92:Y92" si="103">P69*1</f>
        <v>350</v>
      </c>
      <c r="Q92" s="43">
        <f t="shared" si="103"/>
        <v>0.75</v>
      </c>
      <c r="R92" s="43">
        <f t="shared" si="103"/>
        <v>48339.451842887494</v>
      </c>
      <c r="S92" s="43">
        <f t="shared" si="103"/>
        <v>100</v>
      </c>
      <c r="T92" s="43">
        <f t="shared" si="103"/>
        <v>200</v>
      </c>
      <c r="U92" s="43">
        <f t="shared" si="103"/>
        <v>240</v>
      </c>
      <c r="V92" s="43">
        <v>10</v>
      </c>
      <c r="W92" s="43">
        <v>800</v>
      </c>
      <c r="X92" s="43">
        <f t="shared" si="103"/>
        <v>5</v>
      </c>
      <c r="Y92" s="43">
        <f t="shared" si="103"/>
        <v>200</v>
      </c>
    </row>
    <row r="93" spans="1:25" ht="15" x14ac:dyDescent="0.15">
      <c r="A93" s="30" t="s">
        <v>303</v>
      </c>
      <c r="B93" s="11" t="s">
        <v>225</v>
      </c>
      <c r="C93" s="12" t="s">
        <v>365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383496093.75</v>
      </c>
      <c r="M93" s="43">
        <v>2300.9765625</v>
      </c>
      <c r="N93" s="43">
        <f>N57*1.4</f>
        <v>766992187.5</v>
      </c>
      <c r="O93" s="43">
        <f>O57*1</f>
        <v>30000</v>
      </c>
      <c r="P93" s="43">
        <f t="shared" ref="P93:Y93" si="104">P57*1</f>
        <v>350</v>
      </c>
      <c r="Q93" s="43">
        <f t="shared" si="104"/>
        <v>0.75</v>
      </c>
      <c r="R93" s="43">
        <f t="shared" si="104"/>
        <v>11863.800000000001</v>
      </c>
      <c r="S93" s="43">
        <f t="shared" si="104"/>
        <v>100</v>
      </c>
      <c r="T93" s="43">
        <f t="shared" si="104"/>
        <v>200</v>
      </c>
      <c r="U93" s="43">
        <f t="shared" si="104"/>
        <v>120</v>
      </c>
      <c r="V93" s="43">
        <v>10</v>
      </c>
      <c r="W93" s="43">
        <v>2400</v>
      </c>
      <c r="X93" s="43">
        <f t="shared" si="104"/>
        <v>0</v>
      </c>
      <c r="Y93" s="43">
        <f t="shared" si="104"/>
        <v>0</v>
      </c>
    </row>
    <row r="94" spans="1:25" ht="15" x14ac:dyDescent="0.15">
      <c r="A94" s="30" t="s">
        <v>304</v>
      </c>
      <c r="B94" s="11" t="s">
        <v>226</v>
      </c>
      <c r="C94" s="12" t="s">
        <v>365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844535097.65625024</v>
      </c>
      <c r="M94" s="43">
        <v>5067.2105859374997</v>
      </c>
      <c r="N94" s="43">
        <f>N61*1.4</f>
        <v>1689070195.3125005</v>
      </c>
      <c r="O94" s="43">
        <f>O61*1</f>
        <v>30000</v>
      </c>
      <c r="P94" s="43">
        <f t="shared" ref="P94:Y94" si="105">P61*1</f>
        <v>350</v>
      </c>
      <c r="Q94" s="43">
        <f t="shared" si="105"/>
        <v>0.75</v>
      </c>
      <c r="R94" s="43">
        <f t="shared" si="105"/>
        <v>22550.711040000002</v>
      </c>
      <c r="S94" s="43">
        <f t="shared" si="105"/>
        <v>100</v>
      </c>
      <c r="T94" s="43">
        <f t="shared" si="105"/>
        <v>200</v>
      </c>
      <c r="U94" s="43">
        <f t="shared" si="105"/>
        <v>160</v>
      </c>
      <c r="V94" s="43">
        <v>10</v>
      </c>
      <c r="W94" s="43">
        <v>3200</v>
      </c>
      <c r="X94" s="43">
        <f t="shared" si="105"/>
        <v>0</v>
      </c>
      <c r="Y94" s="43">
        <f t="shared" si="105"/>
        <v>0</v>
      </c>
    </row>
    <row r="95" spans="1:25" ht="15" x14ac:dyDescent="0.15">
      <c r="A95" s="30" t="s">
        <v>305</v>
      </c>
      <c r="B95" s="11" t="s">
        <v>227</v>
      </c>
      <c r="C95" s="12" t="s">
        <v>365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1594144450.3359385</v>
      </c>
      <c r="M95" s="43">
        <v>9564.8667020156245</v>
      </c>
      <c r="N95" s="43">
        <f>N65*1.4</f>
        <v>3188288900.6718769</v>
      </c>
      <c r="O95" s="43">
        <f>O65*1</f>
        <v>30000</v>
      </c>
      <c r="P95" s="43">
        <f t="shared" ref="P95:Y95" si="106">P65*1</f>
        <v>350</v>
      </c>
      <c r="Q95" s="43">
        <f t="shared" si="106"/>
        <v>0.75</v>
      </c>
      <c r="R95" s="43">
        <f t="shared" si="106"/>
        <v>33016.496033664014</v>
      </c>
      <c r="S95" s="43">
        <f t="shared" si="106"/>
        <v>100</v>
      </c>
      <c r="T95" s="43">
        <f t="shared" si="106"/>
        <v>200</v>
      </c>
      <c r="U95" s="43">
        <f t="shared" si="106"/>
        <v>200</v>
      </c>
      <c r="V95" s="43">
        <v>10</v>
      </c>
      <c r="W95" s="43">
        <v>4000</v>
      </c>
      <c r="X95" s="43">
        <f t="shared" si="106"/>
        <v>5</v>
      </c>
      <c r="Y95" s="43">
        <f t="shared" si="106"/>
        <v>200</v>
      </c>
    </row>
    <row r="96" spans="1:25" ht="15" x14ac:dyDescent="0.15">
      <c r="A96" s="30" t="s">
        <v>306</v>
      </c>
      <c r="B96" s="11" t="s">
        <v>228</v>
      </c>
      <c r="C96" s="12" t="s">
        <v>365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2221355482.4584088</v>
      </c>
      <c r="M96" s="43">
        <v>40605.139548025501</v>
      </c>
      <c r="N96" s="43">
        <f>N69*1.4</f>
        <v>2030256977.4012744</v>
      </c>
      <c r="O96" s="43">
        <f>O69*1</f>
        <v>30000</v>
      </c>
      <c r="P96" s="43">
        <f t="shared" ref="P96:Y96" si="107">P69*1</f>
        <v>350</v>
      </c>
      <c r="Q96" s="43">
        <f t="shared" si="107"/>
        <v>0.75</v>
      </c>
      <c r="R96" s="43">
        <f t="shared" si="107"/>
        <v>48339.451842887494</v>
      </c>
      <c r="S96" s="43">
        <f t="shared" si="107"/>
        <v>100</v>
      </c>
      <c r="T96" s="43">
        <f t="shared" si="107"/>
        <v>200</v>
      </c>
      <c r="U96" s="43">
        <f t="shared" si="107"/>
        <v>240</v>
      </c>
      <c r="V96" s="43">
        <v>10</v>
      </c>
      <c r="W96" s="43">
        <v>800</v>
      </c>
      <c r="X96" s="43">
        <f t="shared" si="107"/>
        <v>5</v>
      </c>
      <c r="Y96" s="43">
        <f t="shared" si="107"/>
        <v>200</v>
      </c>
    </row>
    <row r="97" spans="1:25" ht="15" x14ac:dyDescent="0.15">
      <c r="A97" s="30" t="s">
        <v>307</v>
      </c>
      <c r="B97" s="11" t="s">
        <v>229</v>
      </c>
      <c r="C97" s="12" t="s">
        <v>353</v>
      </c>
      <c r="E97" s="15"/>
      <c r="F97" s="37">
        <v>0</v>
      </c>
      <c r="G97" s="46"/>
      <c r="H97" s="46"/>
      <c r="I97" s="37">
        <v>0</v>
      </c>
      <c r="J97" s="53">
        <v>0.08</v>
      </c>
      <c r="K97" s="38"/>
      <c r="L97" s="43">
        <v>8</v>
      </c>
      <c r="M97" s="43">
        <v>5</v>
      </c>
      <c r="N97" s="43">
        <v>100</v>
      </c>
      <c r="O97" s="43">
        <f>O4</f>
        <v>100</v>
      </c>
      <c r="P97" s="43">
        <f t="shared" ref="P97:Y97" si="108">P4</f>
        <v>350</v>
      </c>
      <c r="Q97" s="43">
        <f t="shared" si="108"/>
        <v>1</v>
      </c>
      <c r="R97" s="43">
        <f t="shared" si="108"/>
        <v>10</v>
      </c>
      <c r="S97" s="43">
        <f t="shared" si="108"/>
        <v>1</v>
      </c>
      <c r="T97" s="43">
        <f t="shared" si="108"/>
        <v>200</v>
      </c>
      <c r="U97" s="43">
        <f t="shared" si="108"/>
        <v>10</v>
      </c>
      <c r="V97" s="43">
        <v>10</v>
      </c>
      <c r="W97" s="43">
        <v>0</v>
      </c>
      <c r="X97" s="43">
        <f t="shared" si="108"/>
        <v>0</v>
      </c>
      <c r="Y97" s="43">
        <f t="shared" si="108"/>
        <v>0</v>
      </c>
    </row>
    <row r="98" spans="1:25" ht="15" x14ac:dyDescent="0.15">
      <c r="A98" s="3" t="s">
        <v>351</v>
      </c>
      <c r="B98" s="11" t="s">
        <v>352</v>
      </c>
      <c r="C98" s="12" t="s">
        <v>365</v>
      </c>
      <c r="E98" s="15"/>
      <c r="F98" s="37">
        <v>0</v>
      </c>
      <c r="G98" s="46"/>
      <c r="H98" s="46"/>
      <c r="I98" s="37">
        <v>0</v>
      </c>
      <c r="J98" s="53">
        <v>25</v>
      </c>
      <c r="K98" s="38"/>
      <c r="L98" s="43">
        <v>400</v>
      </c>
      <c r="M98" s="43">
        <v>10</v>
      </c>
      <c r="N98" s="43">
        <v>25000</v>
      </c>
      <c r="O98" s="43">
        <f t="shared" ref="O98:Y99" si="109">O4</f>
        <v>100</v>
      </c>
      <c r="P98" s="43">
        <f t="shared" si="109"/>
        <v>350</v>
      </c>
      <c r="Q98" s="43">
        <f t="shared" si="109"/>
        <v>1</v>
      </c>
      <c r="R98" s="43">
        <f t="shared" si="109"/>
        <v>10</v>
      </c>
      <c r="S98" s="43">
        <f t="shared" si="109"/>
        <v>1</v>
      </c>
      <c r="T98" s="43">
        <v>400</v>
      </c>
      <c r="U98" s="43">
        <f t="shared" si="109"/>
        <v>10</v>
      </c>
      <c r="V98" s="43">
        <v>10</v>
      </c>
      <c r="W98" s="43">
        <v>400</v>
      </c>
      <c r="X98" s="43">
        <f t="shared" si="109"/>
        <v>0</v>
      </c>
      <c r="Y98" s="43">
        <f t="shared" si="109"/>
        <v>0</v>
      </c>
    </row>
    <row r="99" spans="1:25" ht="15" x14ac:dyDescent="0.15">
      <c r="A99" s="55" t="s">
        <v>389</v>
      </c>
      <c r="B99" s="11" t="s">
        <v>390</v>
      </c>
      <c r="C99" s="12" t="s">
        <v>365</v>
      </c>
      <c r="F99" s="37">
        <v>500</v>
      </c>
      <c r="G99" s="15"/>
      <c r="H99" s="15"/>
      <c r="I99" s="37">
        <v>500</v>
      </c>
      <c r="J99" s="50">
        <v>0</v>
      </c>
      <c r="K99" s="15"/>
      <c r="L99" s="15">
        <v>2000000</v>
      </c>
      <c r="M99" s="15">
        <v>100</v>
      </c>
      <c r="N99" s="15">
        <v>10000000</v>
      </c>
      <c r="O99" s="43">
        <f t="shared" si="109"/>
        <v>100</v>
      </c>
      <c r="P99" s="43">
        <f t="shared" si="109"/>
        <v>350</v>
      </c>
      <c r="Q99" s="43">
        <f t="shared" si="109"/>
        <v>1</v>
      </c>
      <c r="R99" s="43">
        <f t="shared" si="109"/>
        <v>100</v>
      </c>
      <c r="S99" s="43">
        <f t="shared" si="109"/>
        <v>1</v>
      </c>
      <c r="T99" s="43">
        <v>400</v>
      </c>
      <c r="U99" s="43">
        <f t="shared" si="109"/>
        <v>20</v>
      </c>
      <c r="V99" s="43">
        <v>10</v>
      </c>
      <c r="W99" s="43">
        <v>500</v>
      </c>
      <c r="X99" s="43">
        <f t="shared" si="109"/>
        <v>0</v>
      </c>
      <c r="Y99" s="43">
        <f t="shared" si="109"/>
        <v>0</v>
      </c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  <c r="K106" s="6"/>
    </row>
    <row r="107" spans="1:25" ht="15" x14ac:dyDescent="0.15">
      <c r="A107" s="18"/>
      <c r="B107" s="11"/>
      <c r="C107" s="7"/>
      <c r="K107" s="6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100">
    <cfRule type="duplicateValues" dxfId="1" priority="2"/>
  </conditionalFormatting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2019-06-09T13:12:31Z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