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7FA1EDE-5702-4D70-9CAA-9B971B9B7A55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S122" i="29"/>
  <c r="R122" i="29"/>
  <c r="P122" i="29"/>
  <c r="X121" i="29" l="1"/>
  <c r="N121" i="29"/>
  <c r="O121" i="29"/>
  <c r="M121" i="29"/>
  <c r="N120" i="29" l="1"/>
  <c r="O120" i="29"/>
  <c r="M120" i="29"/>
  <c r="N119" i="29" l="1"/>
  <c r="O119" i="29"/>
  <c r="M119" i="29"/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<sst xmlns="http://schemas.openxmlformats.org/spreadsheetml/2006/main" count="922" uniqueCount="467">
  <si>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</si>
  <si>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</si>
  <si>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</si>
  <si>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</si>
  <si>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</si>
  <si>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</si>
  <si>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</si>
  <si>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</si>
  <si>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</si>
  <si>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</si>
  <si>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</si>
  <si>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</si>
  <si>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</si>
  <si>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</si>
  <si>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</si>
  <si>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</si>
  <si>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</si>
  <si>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</si>
  <si>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</si>
  <si>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</si>
  <si>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</si>
  <si>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</si>
  <si>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</si>
  <si>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</si>
  <si>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</si>
  <si>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</si>
  <si>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</si>
  <si>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</si>
  <si>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</si>
  <si>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</si>
  <si>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</si>
  <si>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</si>
  <si>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</si>
  <si>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</si>
  <si>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</si>
  <si>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</si>
  <si>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</si>
  <si>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</si>
  <si>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</si>
  <si>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</si>
  <si>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</si>
  <si>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</si>
  <si>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</si>
  <si>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</si>
  <si>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</si>
  <si>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</si>
  <si>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</si>
  <si>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</si>
  <si>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</si>
  <si>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</si>
  <si>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</si>
  <si>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</si>
  <si>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</si>
  <si>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</si>
  <si>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</si>
  <si>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</si>
  <si>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</si>
  <si>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</si>
  <si>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</si>
  <si>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</si>
  <si>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</si>
  <si>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</si>
  <si>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</si>
  <si>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</si>
  <si>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</si>
  <si>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</si>
  <si>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</si>
  <si>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</si>
  <si>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</si>
  <si>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</si>
  <si>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</si>
  <si>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</si>
  <si>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</si>
  <si>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</si>
  <si>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</si>
  <si>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</si>
  <si>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</si>
  <si>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</si>
  <si>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</si>
  <si>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</si>
  <si>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</si>
  <si>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</si>
  <si>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</si>
  <si>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</si>
  <si>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</si>
  <si>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</si>
  <si>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</si>
  <si>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</si>
  <si>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</si>
  <si>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</si>
  <si>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</si>
  <si>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</si>
  <si>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</si>
  <si>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</si>
  <si>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</si>
  <si>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</si>
  <si>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</si>
  <si>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</si>
  <si>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</si>
  <si>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</si>
  <si>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</si>
  <si>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</si>
  <si>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</si>
  <si>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</si>
  <si>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</si>
  <si>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</si>
  <si>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</si>
  <si>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</si>
  <si>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</si>
  <si>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</si>
  <si>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</si>
  <si>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</si>
  <si>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</si>
  <si>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</si>
  <si>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</si>
  <si>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</si>
  <si>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</si>
  <si>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</si>
  <si>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</si>
  <si>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</si>
  <si>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</si>
  <si>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</si>
  <si>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</si>
  <si>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</si>
  <si>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</si>
  <si>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</si>
  <si>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</si>
  <si>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</si>
  <si>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</si>
  <si>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</si>
  <si>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</si>
  <si>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</si>
  <si>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</si>
  <si>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</si>
  <si>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</si>
  <si>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</si>
  <si>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</si>
  <si>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</si>
  <si>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</si>
  <si>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</si>
  <si>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</si>
  <si>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</si>
  <si>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</si>
  <si>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</si>
  <si>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</si>
  <si>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</si>
  <si>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</si>
  <si>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</si>
  <si>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</si>
  <si>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</si>
  <si>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</si>
  <si>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</si>
  <si>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</si>
  <si>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</si>
  <si>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</si>
  <si>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</si>
  <si>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</si>
  <si>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</si>
  <si>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</si>
  <si>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</si>
  <si>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</si>
  <si>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</si>
  <si>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</si>
  <si>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</si>
  <si>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</si>
  <si>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</si>
  <si>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</si>
  <si>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</si>
  <si>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</si>
  <si>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</si>
  <si>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</si>
  <si>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</si>
  <si>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</si>
  <si>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</si>
  <si>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</si>
  <si>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</si>
  <si>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</si>
  <si>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</si>
  <si>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</si>
  <si>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</si>
  <si>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</si>
  <si>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</si>
  <si>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</si>
  <si>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</si>
  <si>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</si>
  <si>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</si>
  <si>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</si>
  <si>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</si>
  <si>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</si>
  <si>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</si>
  <si>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</si>
  <si>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</si>
  <si>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</si>
  <si>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</si>
  <si>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</si>
  <si>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</si>
  <si>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</si>
  <si>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</si>
  <si>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</si>
  <si>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</si>
  <si>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</si>
  <si>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</si>
  <si>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</si>
  <si>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</si>
  <si>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</si>
  <si>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</si>
  <si>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</si>
  <si>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</si>
  <si>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</si>
  <si>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</si>
  <si>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</si>
  <si>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</si>
  <si>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</si>
  <si>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</si>
  <si>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</si>
  <si>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</si>
  <si>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</si>
  <si>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</si>
  <si>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</si>
  <si>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</si>
  <si>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</si>
  <si>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</si>
  <si>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</si>
  <si>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</si>
  <si>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</si>
  <si>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</si>
  <si>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</si>
  <si>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</si>
  <si>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</si>
  <si>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</si>
  <si>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</si>
  <si>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</si>
  <si>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</si>
  <si>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</si>
  <si>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</si>
  <si>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</si>
  <si>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</si>
  <si>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</si>
  <si>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</si>
  <si>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</si>
  <si>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</si>
  <si>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</si>
  <si>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</si>
  <si>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</si>
  <si>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</si>
  <si>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</si>
  <si>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</si>
  <si>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</si>
  <si>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</si>
  <si>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</si>
  <si>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</si>
  <si>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</si>
  <si>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</si>
  <si>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</si>
  <si>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</si>
  <si>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</si>
  <si>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</si>
  <si>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</si>
  <si>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</si>
  <si>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</si>
  <si>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</si>
  <si>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</si>
  <si>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</si>
  <si>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</si>
  <si>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</si>
  <si>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</si>
  <si>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</si>
  <si>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</si>
  <si>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</si>
  <si>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</si>
  <si>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</si>
  <si>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</si>
  <si>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</si>
  <si>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</si>
  <si>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</si>
  <si>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</si>
  <si>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</si>
  <si>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</si>
  <si>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</si>
  <si>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</si>
  <si>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</si>
  <si>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</si>
  <si>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</si>
  <si>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</si>
  <si>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</si>
  <si>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</si>
  <si>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</si>
  <si>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</si>
  <si>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</si>
  <si>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</si>
  <si>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</si>
  <si>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</si>
  <si>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</si>
  <si>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</si>
  <si>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</si>
  <si>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</si>
  <si>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</si>
  <si>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</si>
  <si>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</si>
  <si>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</si>
  <si>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</si>
  <si>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</si>
  <si>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</si>
  <si>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</si>
  <si>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</si>
  <si>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</si>
  <si>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</si>
  <si>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</si>
  <si>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</si>
  <si>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</si>
  <si>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</si>
  <si>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</si>
  <si>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</si>
  <si>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</si>
  <si>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</si>
  <si>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</si>
  <si>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</si>
  <si>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</si>
  <si>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</si>
  <si>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</si>
  <si>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</si>
  <si>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</si>
  <si>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</si>
  <si>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</si>
  <si>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</si>
  <si>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</si>
  <si>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</si>
  <si>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</si>
  <si>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</si>
  <si>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</si>
  <si>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</si>
  <si>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</si>
  <si>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</si>
  <si>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</si>
  <si>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</si>
  <si>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</si>
  <si>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</si>
  <si>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</si>
  <si>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</si>
  <si>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</si>
  <si>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</si>
  <si>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</si>
  <si>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</si>
  <si>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</si>
  <si>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</si>
  <si>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</si>
  <si>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</si>
  <si>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</si>
  <si>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</si>
  <si>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</si>
  <si>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</si>
  <si>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</si>
  <si>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</si>
  <si>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</si>
  <si>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</si>
  <si>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</si>
  <si>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</si>
  <si>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</si>
  <si>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</si>
  <si>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</si>
  <si>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</si>
  <si>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</si>
  <si>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</si>
  <si>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</si>
  <si>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</si>
  <si>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</si>
  <si>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</si>
  <si>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</si>
  <si>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</si>
  <si>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</si>
  <si>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</si>
  <si>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</si>
  <si>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</si>
  <si>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</si>
  <si>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</si>
  <si>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</si>
  <si>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</si>
  <si>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</si>
  <si>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</si>
  <si>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</si>
  <si>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</si>
  <si>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</si>
  <si>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</si>
  <si>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</si>
  <si>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</si>
  <si>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</si>
  <si>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</si>
  <si>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</si>
  <si>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</si>
  <si>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</si>
  <si>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</si>
  <si>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</si>
  <si>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</si>
  <si>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</si>
  <si>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</si>
  <si>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</si>
  <si>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</si>
  <si>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</si>
  <si>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</si>
  <si>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</si>
  <si>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</si>
  <si>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</si>
  <si>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</si>
  <si>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</si>
  <si>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</si>
  <si>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</si>
  <si>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</si>
  <si>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</si>
  <si>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</si>
  <si>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</si>
  <si>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</si>
  <si>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</si>
  <si>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</si>
  <si>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</si>
  <si>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</si>
  <si>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</si>
  <si>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</si>
  <si>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</si>
  <si>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</si>
  <si>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</si>
  <si>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</si>
  <si>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</si>
  <si>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</si>
  <si>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</si>
  <si>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</si>
  <si>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</si>
  <si>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</si>
  <si>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</si>
  <si>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</si>
  <si>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</si>
  <si>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</si>
  <si>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</si>
  <si>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</si>
  <si>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</si>
  <si>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</si>
  <si>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</si>
  <si>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</si>
  <si>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</si>
  <si>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</si>
  <si>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</si>
  <si>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</si>
  <si>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</si>
  <si>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</si>
  <si>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</si>
  <si>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</si>
  <si>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</si>
  <si>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</si>
  <si>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</si>
  <si>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</si>
  <si>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</si>
  <si>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</si>
  <si>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</si>
  <si>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</si>
  <si>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</si>
  <si>
    <t>u116</t>
  </si>
  <si>
    <t>武器boss11</t>
  </si>
  <si>
    <t>武器boss11</t>
    <phoneticPr fontId="6" type="noConversion"/>
  </si>
  <si>
    <t>奶牛</t>
    <phoneticPr fontId="6" type="noConversion"/>
  </si>
  <si>
    <t>u117</t>
  </si>
  <si>
    <t>小怪</t>
  </si>
  <si>
    <t>模拟死亡</t>
  </si>
  <si>
    <t>wowcow2black.mdx</t>
    <phoneticPr fontId="6" type="noConversion"/>
  </si>
  <si>
    <t>陀舍古帝守卫</t>
    <phoneticPr fontId="6" type="noConversion"/>
  </si>
  <si>
    <t>u118</t>
  </si>
  <si>
    <t>青蛙</t>
    <phoneticPr fontId="6" type="noConversion"/>
  </si>
  <si>
    <t>u119</t>
  </si>
  <si>
    <t>frog2.mdx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</si>
</sst>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1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2"/>
  <sheetViews>
    <sheetView workbookViewId="0">
      <pane xSplit="1" ySplit="3" topLeftCell="B106" activePane="bottomRight" state="frozen"/>
      <selection pane="topRight"/>
      <selection pane="bottomLeft"/>
      <selection pane="bottomRight" activeCell="A122" sqref="A122:B1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45</v>
      </c>
      <c r="D62" s="23" t="s">
        <v>318</v>
      </c>
      <c r="G62" s="3">
        <v>2.5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349</v>
      </c>
      <c r="D64" s="3" t="s">
        <v>434</v>
      </c>
      <c r="G64" s="3">
        <v>1.6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D99" s="23"/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  <row r="119" spans="1:9" ht="15" x14ac:dyDescent="0.15">
      <c r="A119" s="24" t="s">
        <v>455</v>
      </c>
      <c r="B119" s="11" t="s">
        <v>454</v>
      </c>
      <c r="C119" s="27" t="s">
        <v>45</v>
      </c>
      <c r="D119" s="3" t="s">
        <v>453</v>
      </c>
      <c r="F119" s="2"/>
      <c r="G119" s="3">
        <v>1.8</v>
      </c>
      <c r="I119" s="3">
        <v>60</v>
      </c>
    </row>
    <row r="120" spans="1:9" ht="15" x14ac:dyDescent="0.15">
      <c r="A120" s="26" t="s">
        <v>457</v>
      </c>
      <c r="B120" s="11" t="s">
        <v>458</v>
      </c>
      <c r="C120" s="27" t="s">
        <v>45</v>
      </c>
      <c r="D120" s="2" t="s">
        <v>461</v>
      </c>
      <c r="G120" s="3">
        <v>1</v>
      </c>
      <c r="I120" s="3">
        <v>10</v>
      </c>
    </row>
    <row r="121" spans="1:9" ht="15" x14ac:dyDescent="0.15">
      <c r="A121" s="27" t="s">
        <v>462</v>
      </c>
      <c r="B121" s="11" t="s">
        <v>463</v>
      </c>
      <c r="C121" s="27" t="s">
        <v>45</v>
      </c>
      <c r="D121" s="23" t="s">
        <v>320</v>
      </c>
      <c r="G121" s="3">
        <v>1</v>
      </c>
      <c r="I121" s="3">
        <v>60</v>
      </c>
    </row>
    <row r="122" spans="1:9" ht="15" x14ac:dyDescent="0.15">
      <c r="A122" s="26" t="s">
        <v>464</v>
      </c>
      <c r="B122" s="11" t="s">
        <v>465</v>
      </c>
      <c r="C122" s="27" t="s">
        <v>45</v>
      </c>
      <c r="D122" s="2" t="s">
        <v>466</v>
      </c>
      <c r="G122" s="3">
        <v>1</v>
      </c>
      <c r="I122" s="3">
        <v>10</v>
      </c>
    </row>
  </sheetData>
  <phoneticPr fontId="6" type="noConversion"/>
  <conditionalFormatting sqref="A99">
    <cfRule type="duplicateValues" dxfId="11" priority="13"/>
  </conditionalFormatting>
  <conditionalFormatting sqref="D98">
    <cfRule type="duplicateValues" dxfId="10" priority="11"/>
  </conditionalFormatting>
  <conditionalFormatting sqref="D118 D115 D4:D50 D52:D61 D71:D77 D79:D87 D89:D97 D67:D69">
    <cfRule type="duplicateValues" dxfId="9" priority="17"/>
  </conditionalFormatting>
  <conditionalFormatting sqref="D78">
    <cfRule type="duplicateValues" dxfId="8" priority="10"/>
  </conditionalFormatting>
  <conditionalFormatting sqref="D64">
    <cfRule type="duplicateValues" dxfId="7" priority="9"/>
  </conditionalFormatting>
  <conditionalFormatting sqref="D119">
    <cfRule type="duplicateValues" dxfId="6" priority="8"/>
  </conditionalFormatting>
  <conditionalFormatting sqref="D65">
    <cfRule type="duplicateValues" dxfId="5" priority="5"/>
  </conditionalFormatting>
  <conditionalFormatting sqref="D63">
    <cfRule type="duplicateValues" dxfId="4" priority="4"/>
  </conditionalFormatting>
  <conditionalFormatting sqref="D62">
    <cfRule type="duplicateValues" dxfId="3" priority="3"/>
  </conditionalFormatting>
  <conditionalFormatting sqref="D99">
    <cfRule type="duplicateValues" dxfId="2" priority="2"/>
  </conditionalFormatting>
  <conditionalFormatting sqref="D121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22"/>
  <sheetViews>
    <sheetView tabSelected="1" zoomScaleNormal="100" workbookViewId="0">
      <pane ySplit="3" topLeftCell="A94" activePane="bottomLeft" state="frozen"/>
      <selection activeCell="D1" sqref="D1"/>
      <selection pane="bottomLeft" activeCell="L126" sqref="L126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 s="15">
        <f>M65*1.2</f>
        <v>2772090337.5000014</v>
      </c>
      <c r="N118" s="15">
        <f t="shared" ref="N118:O118" si="99">N65*1.2</f>
        <v>24394.394970000005</v>
      </c>
      <c r="O118" s="15">
        <f t="shared" si="99"/>
        <v>5544180675.0000029</v>
      </c>
      <c r="P118" s="15">
        <v>30000</v>
      </c>
      <c r="Q118" s="15">
        <v>445</v>
      </c>
      <c r="R118" s="15">
        <v>0.75</v>
      </c>
      <c r="S118" s="15">
        <v>76376.552207155182</v>
      </c>
      <c r="T118" s="15">
        <v>0</v>
      </c>
      <c r="U118" s="15">
        <v>200</v>
      </c>
      <c r="V118" s="15">
        <v>525</v>
      </c>
      <c r="W118" s="15">
        <v>20</v>
      </c>
      <c r="X118" s="15">
        <f>X65*1.2</f>
        <v>5400</v>
      </c>
      <c r="Y118" s="15">
        <v>20</v>
      </c>
      <c r="Z118" s="15">
        <v>500</v>
      </c>
    </row>
    <row r="119" spans="1:26" ht="15" x14ac:dyDescent="0.15">
      <c r="A119" s="27" t="s">
        <v>456</v>
      </c>
      <c r="B119" s="11" t="s">
        <v>454</v>
      </c>
      <c r="C119" s="12" t="s">
        <v>450</v>
      </c>
      <c r="D119" s="7"/>
      <c r="E119" s="7"/>
      <c r="F119" s="33">
        <v>500</v>
      </c>
      <c r="G119" s="33"/>
      <c r="H119" s="33"/>
      <c r="I119" s="33">
        <v>500</v>
      </c>
      <c r="J119" s="49">
        <v>0.1</v>
      </c>
      <c r="K119" s="46"/>
      <c r="L119" s="34"/>
      <c r="M119" s="39">
        <f>M118*0.98</f>
        <v>2716648530.7500014</v>
      </c>
      <c r="N119" s="39">
        <f t="shared" ref="N119:O119" si="100">N118*0.98</f>
        <v>23906.507070600004</v>
      </c>
      <c r="O119" s="39">
        <f t="shared" si="100"/>
        <v>5433297061.5000029</v>
      </c>
      <c r="P119" s="39">
        <v>30000</v>
      </c>
      <c r="Q119" s="35">
        <v>440</v>
      </c>
      <c r="R119" s="36">
        <v>0.75</v>
      </c>
      <c r="S119" s="35">
        <v>63647.126839295983</v>
      </c>
      <c r="T119" s="35">
        <v>0</v>
      </c>
      <c r="U119" s="35">
        <v>200</v>
      </c>
      <c r="V119" s="35">
        <v>500</v>
      </c>
      <c r="W119" s="42">
        <v>20</v>
      </c>
      <c r="X119" s="15">
        <v>5400</v>
      </c>
      <c r="Y119" s="42">
        <v>20</v>
      </c>
      <c r="Z119" s="42">
        <v>500</v>
      </c>
    </row>
    <row r="120" spans="1:26" ht="15" x14ac:dyDescent="0.15">
      <c r="A120" s="6" t="s">
        <v>457</v>
      </c>
      <c r="B120" s="11" t="s">
        <v>458</v>
      </c>
      <c r="C120" s="12" t="s">
        <v>459</v>
      </c>
      <c r="F120" s="33">
        <v>500</v>
      </c>
      <c r="I120">
        <v>500</v>
      </c>
      <c r="J120" s="47">
        <v>0.1</v>
      </c>
      <c r="K120" s="47" t="s">
        <v>460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27" t="s">
        <v>462</v>
      </c>
      <c r="B121" s="11" t="s">
        <v>463</v>
      </c>
      <c r="C121" s="12" t="s">
        <v>450</v>
      </c>
      <c r="F121">
        <v>500</v>
      </c>
      <c r="I121">
        <v>500</v>
      </c>
      <c r="J121" s="47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234918.99927876794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26" t="s">
        <v>464</v>
      </c>
      <c r="B122" s="11" t="s">
        <v>465</v>
      </c>
      <c r="C122" s="12" t="s">
        <v>459</v>
      </c>
      <c r="F122">
        <v>500</v>
      </c>
      <c r="I122">
        <v>500</v>
      </c>
      <c r="J122" s="47">
        <v>0.1</v>
      </c>
      <c r="M122" s="39">
        <v>8</v>
      </c>
      <c r="N122" s="39">
        <v>4.5</v>
      </c>
      <c r="O122" s="39">
        <v>100</v>
      </c>
      <c r="P122" s="39">
        <f t="shared" ref="P122:U122" si="104">P29</f>
        <v>10000</v>
      </c>
      <c r="Q122" s="39">
        <v>470</v>
      </c>
      <c r="R122" s="39">
        <f t="shared" si="104"/>
        <v>1</v>
      </c>
      <c r="S122" s="39">
        <f t="shared" si="104"/>
        <v>4000</v>
      </c>
      <c r="T122" s="35">
        <v>0</v>
      </c>
      <c r="U122" s="39">
        <f t="shared" si="104"/>
        <v>200</v>
      </c>
      <c r="V122" s="39">
        <v>50</v>
      </c>
      <c r="W122" s="39">
        <v>20</v>
      </c>
      <c r="X122" s="39">
        <v>45</v>
      </c>
      <c r="Y122" s="39">
        <f>Y29</f>
        <v>0</v>
      </c>
      <c r="Z122" s="39">
        <v>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2019-08-10T15:19:16Z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