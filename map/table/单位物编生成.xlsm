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3B37DFBB-CB8E-49D5-9537-273B707BD92D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L98" i="29"/>
  <c r="Y97" i="29"/>
  <c r="X97" i="29"/>
  <c r="W97" i="29"/>
  <c r="V97" i="29"/>
  <c r="U97" i="29"/>
  <c r="T97" i="29"/>
  <c r="Q97" i="29"/>
  <c r="P97" i="29"/>
  <c r="O97" i="29"/>
  <c r="M97" i="29"/>
  <c r="L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N98" i="29" s="1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97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<sst xmlns="http://schemas.openxmlformats.org/spreadsheetml/2006/main" count="775" uniqueCount="383">
  <si>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</si>
  <si>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</si>
  <si>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</si>
  <si>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</si>
  <si>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</si>
  <si>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</si>
  <si>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</si>
  <si>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</si>
  <si>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</si>
  <si>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</si>
  <si>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</si>
  <si>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</si>
  <si>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</si>
  <si>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</si>
  <si>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</si>
  <si>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</si>
  <si>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</si>
  <si>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</si>
  <si>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</si>
  <si>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</si>
  <si>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</si>
  <si>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</si>
  <si>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</si>
  <si>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</si>
  <si>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</si>
  <si>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</si>
  <si>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</si>
  <si>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</si>
  <si>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</si>
  <si>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</si>
  <si>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</si>
  <si>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</si>
  <si>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</si>
  <si>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</si>
  <si>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</si>
  <si>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</si>
  <si>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</si>
  <si>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</si>
  <si>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</si>
  <si>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</si>
  <si>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</si>
  <si>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</si>
  <si>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</si>
  <si>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</si>
  <si>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</si>
  <si>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</si>
  <si>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</si>
  <si>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</si>
  <si>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</si>
  <si>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</si>
  <si>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</si>
  <si>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</si>
  <si>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</si>
  <si>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</si>
  <si>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</si>
  <si>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</si>
  <si>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</si>
  <si>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</si>
  <si>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</si>
  <si>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</si>
  <si>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</si>
  <si>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</si>
  <si>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</si>
  <si>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</si>
  <si>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</si>
  <si>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</si>
  <si>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</si>
  <si>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</si>
  <si>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</si>
  <si>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</si>
  <si>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</si>
  <si>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</si>
  <si>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</si>
  <si>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</si>
  <si>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</si>
  <si>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</si>
  <si>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</si>
  <si>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</si>
  <si>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</si>
  <si>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</si>
  <si>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</si>
  <si>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</si>
  <si>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</si>
  <si>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</si>
  <si>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</si>
  <si>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</si>
  <si>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</si>
  <si>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</si>
  <si>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</si>
  <si>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</si>
  <si>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</si>
  <si>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</si>
  <si>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</si>
  <si>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</si>
  <si>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</si>
  <si>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</si>
  <si>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</si>
  <si>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</si>
  <si>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</si>
  <si>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</si>
  <si>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</si>
  <si>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</si>
  <si>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</si>
  <si>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</si>
  <si>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</si>
  <si>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</si>
  <si>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</si>
  <si>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</si>
  <si>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</si>
  <si>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</si>
  <si>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</si>
  <si>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</si>
  <si>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</si>
  <si>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</si>
  <si>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</si>
  <si>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</si>
  <si>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</si>
  <si>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</si>
  <si>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</si>
  <si>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</si>
  <si>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</si>
  <si>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</si>
  <si>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</si>
  <si>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</si>
  <si>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</si>
  <si>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</si>
  <si>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</si>
  <si>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</si>
  <si>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</si>
  <si>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</si>
  <si>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</si>
  <si>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</si>
  <si>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</si>
  <si>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</si>
  <si>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</si>
  <si>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</si>
  <si>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</si>
  <si>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</si>
  <si>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</si>
  <si>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</si>
  <si>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</si>
  <si>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</si>
  <si>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</si>
  <si>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</si>
  <si>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</si>
  <si>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</si>
  <si>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</si>
  <si>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</si>
  <si>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</si>
  <si>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</si>
  <si>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</si>
  <si>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</si>
  <si>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</si>
  <si>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</si>
  <si>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</si>
  <si>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</si>
  <si>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</si>
  <si>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</si>
  <si>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</si>
  <si>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</si>
  <si>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</si>
  <si>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</si>
  <si>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</si>
  <si>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</si>
  <si>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</si>
  <si>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</si>
  <si>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</si>
  <si>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</si>
  <si>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</si>
  <si>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</si>
  <si>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</si>
  <si>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</si>
  <si>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</si>
  <si>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</si>
  <si>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</si>
  <si>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</si>
  <si>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</si>
  <si>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</si>
  <si>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</si>
  <si>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</si>
  <si>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</si>
  <si>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</si>
  <si>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</si>
  <si>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</si>
  <si>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</si>
  <si>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</si>
  <si>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</si>
  <si>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</si>
  <si>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</si>
  <si>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</si>
  <si>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</si>
  <si>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</si>
  <si>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</si>
  <si>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</si>
  <si>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</si>
  <si>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</si>
  <si>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</si>
  <si>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</si>
  <si>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</si>
  <si>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</si>
  <si>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</si>
  <si>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</si>
  <si>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</si>
  <si>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</si>
  <si>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</si>
  <si>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</si>
  <si>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</si>
  <si>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</si>
  <si>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</si>
  <si>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</si>
  <si>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</si>
  <si>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</si>
  <si>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</si>
  <si>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</si>
  <si>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</si>
  <si>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</si>
  <si>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</si>
  <si>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</si>
  <si>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</si>
  <si>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</si>
  <si>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</si>
  <si>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</si>
  <si>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</si>
  <si>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</si>
  <si>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</si>
  <si>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</si>
  <si>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</si>
  <si>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</si>
  <si>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</si>
  <si>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</si>
  <si>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</si>
  <si>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</si>
  <si>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</si>
  <si>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</si>
  <si>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</si>
  <si>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</si>
  <si>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</si>
  <si>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</si>
  <si>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</si>
  <si>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</si>
  <si>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</si>
  <si>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</si>
  <si>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</si>
  <si>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</si>
  <si>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</si>
  <si>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</si>
  <si>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</si>
  <si>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</si>
  <si>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</si>
  <si>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</si>
  <si>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</si>
  <si>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</si>
  <si>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</si>
  <si>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</si>
  <si>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</si>
  <si>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</si>
  <si>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</si>
  <si>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</si>
  <si>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</si>
  <si>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</si>
  <si>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</si>
  <si>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</si>
  <si>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</si>
  <si>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</si>
  <si>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</si>
  <si>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</si>
  <si>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</si>
  <si>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</si>
  <si>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</si>
  <si>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</si>
  <si>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</si>
  <si>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</si>
  <si>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</si>
  <si>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</si>
  <si>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</si>
  <si>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</si>
  <si>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</si>
  <si>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</si>
  <si>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</si>
  <si>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</si>
  <si>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</si>
  <si>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</si>
  <si>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</si>
  <si>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</si>
  <si>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</si>
  <si>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</si>
  <si>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</si>
  <si>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</si>
  <si>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</si>
  <si>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</si>
  <si>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</si>
  <si>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</si>
  <si>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</si>
  <si>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</si>
  <si>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</si>
  <si>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</si>
  <si>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</si>
  <si>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</si>
  <si>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</si>
  <si>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</si>
  <si>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</si>
  <si>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</si>
  <si>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</si>
  <si>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</si>
  <si>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</si>
  <si>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</si>
  <si>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</si>
  <si>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</si>
  <si>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</si>
  <si>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</si>
  <si>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</si>
  <si>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</si>
  <si>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</si>
  <si>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</si>
  <si>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</si>
  <si>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</si>
  <si>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</si>
  <si>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</si>
  <si>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</si>
  <si>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</si>
  <si>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</si>
  <si>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</si>
  <si>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</si>
  <si>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</si>
  <si>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</si>
  <si>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</si>
  <si>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</si>
  <si>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</si>
  <si>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</si>
  <si>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</si>
  <si>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</si>
  <si>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</si>
  <si>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</si>
  <si>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</si>
  <si>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</si>
  <si>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</si>
  <si>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</si>
  <si>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</si>
  <si>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</si>
  <si>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</si>
  <si>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</si>
  <si>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</si>
  <si>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</si>
  <si>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</si>
  <si>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</si>
  <si>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</si>
  <si>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</si>
  <si>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</si>
  <si>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</si>
  <si>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</si>
  <si>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</si>
  <si>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</si>
  <si>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</si>
  <si>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</si>
  <si>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</si>
  <si>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</si>
  <si>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</si>
  <si>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</si>
  <si>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</si>
  <si>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</si>
  <si>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</si>
  <si>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</si>
  <si>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</si>
  <si>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</si>
  <si>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物爆几率</t>
  </si>
  <si>
    <t>物爆伤害</t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</si>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</sst>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32" sqref="G32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245</v>
      </c>
      <c r="C2" s="29" t="s">
        <v>35</v>
      </c>
      <c r="D2" s="4" t="s">
        <v>2</v>
      </c>
      <c r="E2" t="s">
        <v>3</v>
      </c>
      <c r="F2" s="14" t="s">
        <v>211</v>
      </c>
      <c r="G2" s="3" t="s">
        <v>4</v>
      </c>
      <c r="H2" s="3" t="s">
        <v>5</v>
      </c>
      <c r="I2" t="s">
        <v>233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106</v>
      </c>
      <c r="C3" s="29" t="s">
        <v>36</v>
      </c>
      <c r="D3" s="2" t="s">
        <v>9</v>
      </c>
      <c r="E3" s="1" t="s">
        <v>10</v>
      </c>
      <c r="F3" s="1" t="s">
        <v>212</v>
      </c>
      <c r="G3" s="1" t="s">
        <v>11</v>
      </c>
      <c r="H3" s="1" t="s">
        <v>12</v>
      </c>
      <c r="I3" s="1" t="s">
        <v>234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30" t="s">
        <v>37</v>
      </c>
      <c r="B4" s="11" t="s">
        <v>355</v>
      </c>
      <c r="C4" s="31" t="s">
        <v>352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38</v>
      </c>
      <c r="B5" s="11" t="s">
        <v>108</v>
      </c>
      <c r="C5" s="31" t="s">
        <v>353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41</v>
      </c>
      <c r="B6" s="11" t="s">
        <v>109</v>
      </c>
      <c r="C6" s="31" t="s">
        <v>42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43</v>
      </c>
      <c r="B7" s="11" t="s">
        <v>110</v>
      </c>
      <c r="C7" s="31" t="s">
        <v>44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39</v>
      </c>
      <c r="B8" s="11" t="s">
        <v>111</v>
      </c>
      <c r="C8" s="31" t="s">
        <v>40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45</v>
      </c>
      <c r="B9" s="11" t="s">
        <v>112</v>
      </c>
      <c r="C9" s="31" t="s">
        <v>46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47</v>
      </c>
      <c r="B10" s="11" t="s">
        <v>113</v>
      </c>
      <c r="C10" s="31" t="s">
        <v>48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49</v>
      </c>
      <c r="B11" s="11" t="s">
        <v>114</v>
      </c>
      <c r="C11" s="31" t="s">
        <v>50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52</v>
      </c>
      <c r="B12" s="11" t="s">
        <v>115</v>
      </c>
      <c r="C12" s="31" t="s">
        <v>53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54</v>
      </c>
      <c r="B13" s="11" t="s">
        <v>116</v>
      </c>
      <c r="C13" s="31" t="s">
        <v>55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56</v>
      </c>
      <c r="B14" s="11" t="s">
        <v>117</v>
      </c>
      <c r="C14" s="31" t="s">
        <v>57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58</v>
      </c>
      <c r="B15" s="11" t="s">
        <v>118</v>
      </c>
      <c r="C15" s="31" t="s">
        <v>59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16</v>
      </c>
      <c r="B16" s="11" t="s">
        <v>119</v>
      </c>
      <c r="C16" s="31" t="s">
        <v>60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61</v>
      </c>
      <c r="B17" s="11" t="s">
        <v>120</v>
      </c>
      <c r="C17" s="31" t="s">
        <v>62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63</v>
      </c>
      <c r="B18" s="11" t="s">
        <v>121</v>
      </c>
      <c r="C18" s="31" t="s">
        <v>64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65</v>
      </c>
      <c r="B19" s="11" t="s">
        <v>122</v>
      </c>
      <c r="C19" s="31" t="s">
        <v>66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67</v>
      </c>
      <c r="B20" s="11" t="s">
        <v>123</v>
      </c>
      <c r="C20" s="31" t="s">
        <v>68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71</v>
      </c>
      <c r="B21" s="11" t="s">
        <v>124</v>
      </c>
      <c r="C21" s="31" t="s">
        <v>72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69</v>
      </c>
      <c r="B22" s="11" t="s">
        <v>125</v>
      </c>
      <c r="C22" s="33" t="s">
        <v>70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81</v>
      </c>
      <c r="B23" s="11" t="s">
        <v>126</v>
      </c>
      <c r="C23" s="33" t="s">
        <v>82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79</v>
      </c>
      <c r="B24" s="11" t="s">
        <v>127</v>
      </c>
      <c r="C24" s="31" t="s">
        <v>80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83</v>
      </c>
      <c r="B25" s="11" t="s">
        <v>128</v>
      </c>
      <c r="C25" s="31" t="s">
        <v>84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77</v>
      </c>
      <c r="B26" s="11" t="s">
        <v>129</v>
      </c>
      <c r="C26" s="31" t="s">
        <v>78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75</v>
      </c>
      <c r="B27" s="11" t="s">
        <v>130</v>
      </c>
      <c r="C27" s="31" t="s">
        <v>76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73</v>
      </c>
      <c r="B28" s="11" t="s">
        <v>131</v>
      </c>
      <c r="C28" s="31" t="s">
        <v>74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85</v>
      </c>
      <c r="B29" s="11" t="s">
        <v>132</v>
      </c>
      <c r="C29" s="30" t="s">
        <v>86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246</v>
      </c>
      <c r="B30" s="11" t="s">
        <v>133</v>
      </c>
      <c r="C30" s="31" t="s">
        <v>46</v>
      </c>
      <c r="D30" s="25" t="s">
        <v>235</v>
      </c>
      <c r="F30" s="2"/>
      <c r="G30" s="25">
        <v>2.2000000000000002</v>
      </c>
      <c r="I30" s="3">
        <v>60</v>
      </c>
    </row>
    <row r="31" spans="1:9" ht="15" x14ac:dyDescent="0.15">
      <c r="A31" s="30" t="s">
        <v>247</v>
      </c>
      <c r="B31" s="11" t="s">
        <v>134</v>
      </c>
      <c r="C31" s="31" t="s">
        <v>46</v>
      </c>
      <c r="D31" s="3" t="s">
        <v>236</v>
      </c>
      <c r="F31" s="2"/>
      <c r="G31" s="25">
        <v>2.2000000000000002</v>
      </c>
      <c r="I31" s="3">
        <v>60</v>
      </c>
    </row>
    <row r="32" spans="1:9" ht="15" x14ac:dyDescent="0.15">
      <c r="A32" s="34" t="s">
        <v>248</v>
      </c>
      <c r="B32" s="11" t="s">
        <v>135</v>
      </c>
      <c r="C32" s="31" t="s">
        <v>46</v>
      </c>
      <c r="D32" s="25" t="s">
        <v>238</v>
      </c>
      <c r="F32" s="2"/>
      <c r="G32" s="25">
        <v>4.8</v>
      </c>
      <c r="I32" s="3">
        <v>60</v>
      </c>
    </row>
    <row r="33" spans="1:9" ht="15" x14ac:dyDescent="0.15">
      <c r="A33" s="34" t="s">
        <v>249</v>
      </c>
      <c r="B33" s="11" t="s">
        <v>136</v>
      </c>
      <c r="C33" s="31" t="s">
        <v>46</v>
      </c>
      <c r="D33" s="3" t="s">
        <v>242</v>
      </c>
      <c r="F33" s="2"/>
      <c r="G33" s="3">
        <v>2</v>
      </c>
      <c r="I33" s="3">
        <v>60</v>
      </c>
    </row>
    <row r="34" spans="1:9" ht="15" x14ac:dyDescent="0.15">
      <c r="A34" s="30" t="s">
        <v>250</v>
      </c>
      <c r="B34" s="11" t="s">
        <v>137</v>
      </c>
      <c r="C34" s="30" t="s">
        <v>46</v>
      </c>
      <c r="D34" s="3" t="s">
        <v>244</v>
      </c>
      <c r="F34" s="2"/>
      <c r="G34" s="3">
        <v>2.5</v>
      </c>
      <c r="I34" s="3">
        <v>60</v>
      </c>
    </row>
    <row r="35" spans="1:9" ht="15" x14ac:dyDescent="0.15">
      <c r="A35" s="30" t="s">
        <v>251</v>
      </c>
      <c r="B35" s="11" t="s">
        <v>138</v>
      </c>
      <c r="C35" s="30" t="s">
        <v>352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252</v>
      </c>
      <c r="B36" s="11" t="s">
        <v>139</v>
      </c>
      <c r="C36" s="30" t="s">
        <v>46</v>
      </c>
      <c r="D36" s="3" t="s">
        <v>243</v>
      </c>
      <c r="F36" s="2"/>
      <c r="G36" s="3">
        <v>1</v>
      </c>
      <c r="I36" s="3">
        <v>20</v>
      </c>
    </row>
    <row r="37" spans="1:9" ht="15" x14ac:dyDescent="0.15">
      <c r="A37" s="30" t="s">
        <v>253</v>
      </c>
      <c r="B37" s="11" t="s">
        <v>140</v>
      </c>
      <c r="C37" s="30" t="s">
        <v>46</v>
      </c>
      <c r="D37" s="3" t="s">
        <v>243</v>
      </c>
      <c r="F37" s="2"/>
      <c r="G37" s="3">
        <v>1.5</v>
      </c>
      <c r="I37" s="3">
        <v>20</v>
      </c>
    </row>
    <row r="38" spans="1:9" ht="15" x14ac:dyDescent="0.15">
      <c r="A38" s="30" t="s">
        <v>254</v>
      </c>
      <c r="B38" s="11" t="s">
        <v>141</v>
      </c>
      <c r="C38" s="30" t="s">
        <v>46</v>
      </c>
      <c r="D38" s="3" t="s">
        <v>243</v>
      </c>
      <c r="F38" s="2"/>
      <c r="G38" s="3">
        <v>2</v>
      </c>
      <c r="I38" s="3">
        <v>20</v>
      </c>
    </row>
    <row r="39" spans="1:9" ht="15" x14ac:dyDescent="0.15">
      <c r="A39" s="30" t="s">
        <v>255</v>
      </c>
      <c r="B39" s="11" t="s">
        <v>142</v>
      </c>
      <c r="C39" s="30" t="s">
        <v>51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256</v>
      </c>
      <c r="B40" s="11" t="s">
        <v>143</v>
      </c>
      <c r="C40" s="30" t="s">
        <v>51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257</v>
      </c>
      <c r="B41" s="11" t="s">
        <v>144</v>
      </c>
      <c r="C41" s="30" t="s">
        <v>51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258</v>
      </c>
      <c r="B42" s="11" t="s">
        <v>145</v>
      </c>
      <c r="C42" s="30" t="s">
        <v>51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259</v>
      </c>
      <c r="B43" s="11" t="s">
        <v>126</v>
      </c>
      <c r="C43" s="30" t="s">
        <v>354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260</v>
      </c>
      <c r="B44" s="11" t="s">
        <v>147</v>
      </c>
      <c r="C44" s="30" t="s">
        <v>354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261</v>
      </c>
      <c r="B45" s="11" t="s">
        <v>148</v>
      </c>
      <c r="C45" s="30" t="s">
        <v>354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262</v>
      </c>
      <c r="B46" s="11" t="s">
        <v>149</v>
      </c>
      <c r="C46" s="30" t="s">
        <v>46</v>
      </c>
      <c r="D46" s="3" t="s">
        <v>310</v>
      </c>
      <c r="F46" s="2"/>
      <c r="G46" s="3">
        <v>1</v>
      </c>
      <c r="I46" s="3">
        <v>60</v>
      </c>
    </row>
    <row r="47" spans="1:9" ht="15" x14ac:dyDescent="0.15">
      <c r="A47" s="30" t="s">
        <v>263</v>
      </c>
      <c r="B47" s="11" t="s">
        <v>150</v>
      </c>
      <c r="C47" s="30" t="s">
        <v>46</v>
      </c>
      <c r="D47" s="3" t="s">
        <v>311</v>
      </c>
      <c r="F47" s="2"/>
      <c r="G47" s="3">
        <v>1</v>
      </c>
      <c r="I47" s="3">
        <v>60</v>
      </c>
    </row>
    <row r="48" spans="1:9" ht="15" x14ac:dyDescent="0.15">
      <c r="A48" s="30" t="s">
        <v>264</v>
      </c>
      <c r="B48" s="11" t="s">
        <v>151</v>
      </c>
      <c r="C48" s="30" t="s">
        <v>46</v>
      </c>
      <c r="D48" s="3" t="s">
        <v>312</v>
      </c>
      <c r="F48" s="2"/>
      <c r="G48" s="3">
        <v>1</v>
      </c>
      <c r="I48" s="3">
        <v>60</v>
      </c>
    </row>
    <row r="49" spans="1:9" ht="15" x14ac:dyDescent="0.15">
      <c r="A49" s="30" t="s">
        <v>265</v>
      </c>
      <c r="B49" s="11" t="s">
        <v>152</v>
      </c>
      <c r="C49" s="30" t="s">
        <v>46</v>
      </c>
      <c r="D49" s="3" t="s">
        <v>313</v>
      </c>
      <c r="F49" s="2"/>
      <c r="G49" s="3">
        <v>1</v>
      </c>
      <c r="I49" s="3">
        <v>60</v>
      </c>
    </row>
    <row r="50" spans="1:9" ht="15" x14ac:dyDescent="0.15">
      <c r="A50" s="30" t="s">
        <v>266</v>
      </c>
      <c r="B50" s="11" t="s">
        <v>153</v>
      </c>
      <c r="C50" s="30" t="s">
        <v>46</v>
      </c>
      <c r="D50" s="3" t="s">
        <v>314</v>
      </c>
      <c r="F50" s="2"/>
      <c r="G50" s="3">
        <v>1</v>
      </c>
      <c r="I50" s="3">
        <v>60</v>
      </c>
    </row>
    <row r="51" spans="1:9" ht="15" x14ac:dyDescent="0.15">
      <c r="A51" s="30" t="s">
        <v>267</v>
      </c>
      <c r="B51" s="11" t="s">
        <v>154</v>
      </c>
      <c r="C51" s="30" t="s">
        <v>46</v>
      </c>
      <c r="D51" s="3" t="s">
        <v>315</v>
      </c>
      <c r="F51" s="2"/>
      <c r="G51" s="3">
        <v>1</v>
      </c>
      <c r="I51" s="3">
        <v>60</v>
      </c>
    </row>
    <row r="52" spans="1:9" ht="15" x14ac:dyDescent="0.15">
      <c r="A52" s="30" t="s">
        <v>268</v>
      </c>
      <c r="B52" s="11" t="s">
        <v>155</v>
      </c>
      <c r="C52" s="30" t="s">
        <v>46</v>
      </c>
      <c r="D52" s="3" t="s">
        <v>316</v>
      </c>
      <c r="F52" s="2"/>
      <c r="G52" s="3">
        <v>1</v>
      </c>
      <c r="I52" s="3">
        <v>60</v>
      </c>
    </row>
    <row r="53" spans="1:9" ht="15" x14ac:dyDescent="0.15">
      <c r="A53" s="30" t="s">
        <v>269</v>
      </c>
      <c r="B53" s="11" t="s">
        <v>156</v>
      </c>
      <c r="C53" s="30" t="s">
        <v>46</v>
      </c>
      <c r="D53" s="3" t="s">
        <v>317</v>
      </c>
      <c r="F53" s="2"/>
      <c r="G53" s="3">
        <v>1</v>
      </c>
      <c r="I53" s="3">
        <v>60</v>
      </c>
    </row>
    <row r="54" spans="1:9" ht="15" x14ac:dyDescent="0.15">
      <c r="A54" s="30" t="s">
        <v>270</v>
      </c>
      <c r="B54" s="11" t="s">
        <v>157</v>
      </c>
      <c r="C54" s="30" t="s">
        <v>46</v>
      </c>
      <c r="D54" s="3" t="s">
        <v>318</v>
      </c>
      <c r="F54" s="2"/>
      <c r="G54" s="3">
        <v>1</v>
      </c>
      <c r="I54" s="3">
        <v>60</v>
      </c>
    </row>
    <row r="55" spans="1:9" ht="15" x14ac:dyDescent="0.15">
      <c r="A55" s="30" t="s">
        <v>271</v>
      </c>
      <c r="B55" s="11" t="s">
        <v>158</v>
      </c>
      <c r="C55" s="30" t="s">
        <v>46</v>
      </c>
      <c r="D55" s="3" t="s">
        <v>319</v>
      </c>
      <c r="F55" s="2"/>
      <c r="G55" s="3">
        <v>1</v>
      </c>
      <c r="I55" s="3">
        <v>60</v>
      </c>
    </row>
    <row r="56" spans="1:9" ht="15" x14ac:dyDescent="0.15">
      <c r="A56" s="30" t="s">
        <v>272</v>
      </c>
      <c r="B56" s="11" t="s">
        <v>159</v>
      </c>
      <c r="C56" s="30" t="s">
        <v>46</v>
      </c>
      <c r="D56" s="3" t="s">
        <v>320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273</v>
      </c>
      <c r="B57" s="11" t="s">
        <v>160</v>
      </c>
      <c r="C57" s="30" t="s">
        <v>46</v>
      </c>
      <c r="D57" s="3" t="s">
        <v>321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274</v>
      </c>
      <c r="B58" s="11" t="s">
        <v>161</v>
      </c>
      <c r="C58" s="30" t="s">
        <v>46</v>
      </c>
      <c r="D58" s="3" t="s">
        <v>322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275</v>
      </c>
      <c r="B59" s="11" t="s">
        <v>162</v>
      </c>
      <c r="C59" s="30" t="s">
        <v>46</v>
      </c>
      <c r="D59" s="3" t="s">
        <v>323</v>
      </c>
      <c r="F59" s="2"/>
      <c r="G59" s="3">
        <v>1</v>
      </c>
      <c r="I59" s="3">
        <v>60</v>
      </c>
    </row>
    <row r="60" spans="1:9" ht="15" x14ac:dyDescent="0.15">
      <c r="A60" s="30" t="s">
        <v>276</v>
      </c>
      <c r="B60" s="11" t="s">
        <v>163</v>
      </c>
      <c r="C60" s="30" t="s">
        <v>46</v>
      </c>
      <c r="D60" s="3" t="s">
        <v>324</v>
      </c>
      <c r="F60" s="2"/>
      <c r="G60" s="3">
        <v>1</v>
      </c>
      <c r="I60" s="3">
        <v>60</v>
      </c>
    </row>
    <row r="61" spans="1:9" ht="15" x14ac:dyDescent="0.15">
      <c r="A61" s="30" t="s">
        <v>277</v>
      </c>
      <c r="B61" s="11" t="s">
        <v>164</v>
      </c>
      <c r="C61" s="30" t="s">
        <v>46</v>
      </c>
      <c r="D61" s="3" t="s">
        <v>325</v>
      </c>
      <c r="F61" s="2"/>
      <c r="G61" s="3">
        <v>1</v>
      </c>
      <c r="I61" s="3">
        <v>60</v>
      </c>
    </row>
    <row r="62" spans="1:9" ht="15" x14ac:dyDescent="0.15">
      <c r="A62" s="30" t="s">
        <v>278</v>
      </c>
      <c r="B62" s="11" t="s">
        <v>165</v>
      </c>
      <c r="C62" s="30" t="s">
        <v>46</v>
      </c>
      <c r="D62" s="3" t="s">
        <v>326</v>
      </c>
      <c r="F62" s="2"/>
      <c r="G62" s="3">
        <v>1</v>
      </c>
      <c r="I62" s="3">
        <v>60</v>
      </c>
    </row>
    <row r="63" spans="1:9" ht="15" x14ac:dyDescent="0.15">
      <c r="A63" s="30" t="s">
        <v>279</v>
      </c>
      <c r="B63" s="11" t="s">
        <v>166</v>
      </c>
      <c r="C63" s="30" t="s">
        <v>46</v>
      </c>
      <c r="D63" s="3" t="s">
        <v>327</v>
      </c>
      <c r="F63" s="2"/>
      <c r="G63" s="3">
        <v>1</v>
      </c>
      <c r="I63" s="3">
        <v>60</v>
      </c>
    </row>
    <row r="64" spans="1:9" ht="15" x14ac:dyDescent="0.15">
      <c r="A64" s="30" t="s">
        <v>280</v>
      </c>
      <c r="B64" s="11" t="s">
        <v>167</v>
      </c>
      <c r="C64" s="30" t="s">
        <v>46</v>
      </c>
      <c r="D64" s="3" t="s">
        <v>328</v>
      </c>
      <c r="F64" s="2"/>
      <c r="G64" s="3">
        <v>1</v>
      </c>
      <c r="I64" s="3">
        <v>60</v>
      </c>
    </row>
    <row r="65" spans="1:9" ht="15" x14ac:dyDescent="0.15">
      <c r="A65" s="30" t="s">
        <v>281</v>
      </c>
      <c r="B65" s="11" t="s">
        <v>168</v>
      </c>
      <c r="C65" s="30" t="s">
        <v>46</v>
      </c>
      <c r="D65" s="3" t="s">
        <v>329</v>
      </c>
      <c r="F65" s="2"/>
      <c r="G65" s="3">
        <v>1</v>
      </c>
      <c r="I65" s="3">
        <v>60</v>
      </c>
    </row>
    <row r="66" spans="1:9" ht="15" x14ac:dyDescent="0.15">
      <c r="A66" s="30" t="s">
        <v>282</v>
      </c>
      <c r="B66" s="11" t="s">
        <v>169</v>
      </c>
      <c r="C66" s="30" t="s">
        <v>46</v>
      </c>
      <c r="D66" s="3"/>
      <c r="F66" s="2"/>
      <c r="G66" s="3"/>
      <c r="I66" s="3"/>
    </row>
    <row r="67" spans="1:9" ht="15" x14ac:dyDescent="0.15">
      <c r="A67" s="30" t="s">
        <v>282</v>
      </c>
      <c r="B67" s="11" t="s">
        <v>170</v>
      </c>
      <c r="C67" s="30" t="s">
        <v>46</v>
      </c>
      <c r="D67" s="3"/>
      <c r="F67" s="2"/>
      <c r="G67" s="3"/>
      <c r="I67" s="3"/>
    </row>
    <row r="68" spans="1:9" ht="15" x14ac:dyDescent="0.15">
      <c r="A68" s="30" t="s">
        <v>282</v>
      </c>
      <c r="B68" s="11" t="s">
        <v>171</v>
      </c>
      <c r="C68" s="30" t="s">
        <v>46</v>
      </c>
      <c r="D68" s="3"/>
      <c r="F68" s="2"/>
      <c r="G68" s="3"/>
      <c r="I68" s="3"/>
    </row>
    <row r="69" spans="1:9" ht="15" x14ac:dyDescent="0.15">
      <c r="A69" s="30" t="s">
        <v>282</v>
      </c>
      <c r="B69" s="11" t="s">
        <v>172</v>
      </c>
      <c r="C69" s="30" t="s">
        <v>46</v>
      </c>
      <c r="D69" s="3"/>
      <c r="F69" s="2"/>
      <c r="G69" s="3"/>
      <c r="I69" s="3"/>
    </row>
    <row r="70" spans="1:9" ht="15" x14ac:dyDescent="0.15">
      <c r="A70" s="30" t="s">
        <v>282</v>
      </c>
      <c r="B70" s="11" t="s">
        <v>173</v>
      </c>
      <c r="C70" s="30" t="s">
        <v>46</v>
      </c>
      <c r="D70" s="3"/>
      <c r="F70" s="2"/>
      <c r="G70" s="3"/>
      <c r="I70" s="3"/>
    </row>
    <row r="71" spans="1:9" ht="15" x14ac:dyDescent="0.15">
      <c r="A71" s="30" t="s">
        <v>283</v>
      </c>
      <c r="B71" s="11" t="s">
        <v>174</v>
      </c>
      <c r="C71" s="30" t="s">
        <v>46</v>
      </c>
      <c r="D71" s="3" t="s">
        <v>330</v>
      </c>
      <c r="F71" s="2"/>
      <c r="G71" s="3">
        <v>1</v>
      </c>
      <c r="I71" s="3">
        <v>60</v>
      </c>
    </row>
    <row r="72" spans="1:9" ht="15" x14ac:dyDescent="0.15">
      <c r="A72" s="30" t="s">
        <v>284</v>
      </c>
      <c r="B72" s="11" t="s">
        <v>175</v>
      </c>
      <c r="C72" s="30" t="s">
        <v>46</v>
      </c>
      <c r="D72" s="3" t="s">
        <v>237</v>
      </c>
      <c r="F72" s="2"/>
      <c r="G72" s="3">
        <v>1</v>
      </c>
      <c r="I72" s="3">
        <v>60</v>
      </c>
    </row>
    <row r="73" spans="1:9" ht="15" x14ac:dyDescent="0.15">
      <c r="A73" s="30" t="s">
        <v>285</v>
      </c>
      <c r="B73" s="11" t="s">
        <v>176</v>
      </c>
      <c r="C73" s="30" t="s">
        <v>46</v>
      </c>
      <c r="D73" s="3" t="s">
        <v>239</v>
      </c>
      <c r="F73" s="2"/>
      <c r="G73" s="3">
        <v>1</v>
      </c>
      <c r="I73" s="3">
        <v>60</v>
      </c>
    </row>
    <row r="74" spans="1:9" ht="15" x14ac:dyDescent="0.15">
      <c r="A74" s="30" t="s">
        <v>286</v>
      </c>
      <c r="B74" s="11" t="s">
        <v>177</v>
      </c>
      <c r="C74" s="30" t="s">
        <v>46</v>
      </c>
      <c r="D74" s="3" t="s">
        <v>240</v>
      </c>
      <c r="F74" s="2"/>
      <c r="G74" s="3">
        <v>1</v>
      </c>
      <c r="I74" s="3">
        <v>60</v>
      </c>
    </row>
    <row r="75" spans="1:9" ht="15" x14ac:dyDescent="0.15">
      <c r="A75" s="30" t="s">
        <v>287</v>
      </c>
      <c r="B75" s="11" t="s">
        <v>178</v>
      </c>
      <c r="C75" s="30" t="s">
        <v>46</v>
      </c>
      <c r="D75" s="3" t="s">
        <v>241</v>
      </c>
      <c r="F75" s="2"/>
      <c r="G75" s="3">
        <v>1</v>
      </c>
      <c r="I75" s="3">
        <v>60</v>
      </c>
    </row>
    <row r="76" spans="1:9" ht="15" x14ac:dyDescent="0.15">
      <c r="A76" s="30" t="s">
        <v>288</v>
      </c>
      <c r="B76" s="11" t="s">
        <v>179</v>
      </c>
      <c r="C76" s="30" t="s">
        <v>46</v>
      </c>
      <c r="D76" s="3" t="s">
        <v>331</v>
      </c>
      <c r="F76" s="2"/>
      <c r="G76" s="3">
        <v>1</v>
      </c>
      <c r="I76" s="3">
        <v>60</v>
      </c>
    </row>
    <row r="77" spans="1:9" ht="15" x14ac:dyDescent="0.15">
      <c r="A77" s="30" t="s">
        <v>289</v>
      </c>
      <c r="B77" s="11" t="s">
        <v>180</v>
      </c>
      <c r="C77" s="30" t="s">
        <v>46</v>
      </c>
      <c r="D77" s="3" t="s">
        <v>332</v>
      </c>
      <c r="F77" s="2"/>
      <c r="G77" s="3">
        <v>1</v>
      </c>
      <c r="I77" s="3">
        <v>60</v>
      </c>
    </row>
    <row r="78" spans="1:9" ht="15" x14ac:dyDescent="0.15">
      <c r="A78" s="30" t="s">
        <v>290</v>
      </c>
      <c r="B78" s="11" t="s">
        <v>181</v>
      </c>
      <c r="C78" s="30" t="s">
        <v>46</v>
      </c>
      <c r="D78" s="3" t="s">
        <v>333</v>
      </c>
      <c r="F78" s="2"/>
      <c r="G78" s="3">
        <v>1</v>
      </c>
      <c r="I78" s="3">
        <v>60</v>
      </c>
    </row>
    <row r="79" spans="1:9" ht="15" x14ac:dyDescent="0.15">
      <c r="A79" s="30" t="s">
        <v>291</v>
      </c>
      <c r="B79" s="11" t="s">
        <v>182</v>
      </c>
      <c r="C79" s="30" t="s">
        <v>46</v>
      </c>
      <c r="D79" s="3" t="s">
        <v>334</v>
      </c>
      <c r="F79" s="2"/>
      <c r="G79" s="3">
        <v>1</v>
      </c>
      <c r="I79" s="3">
        <v>60</v>
      </c>
    </row>
    <row r="80" spans="1:9" ht="15" x14ac:dyDescent="0.15">
      <c r="A80" s="30" t="s">
        <v>292</v>
      </c>
      <c r="B80" s="11" t="s">
        <v>183</v>
      </c>
      <c r="C80" s="30" t="s">
        <v>46</v>
      </c>
      <c r="D80" s="3" t="s">
        <v>335</v>
      </c>
      <c r="F80" s="2"/>
      <c r="G80" s="3">
        <v>1</v>
      </c>
      <c r="I80" s="3">
        <v>60</v>
      </c>
    </row>
    <row r="81" spans="1:9" ht="15" x14ac:dyDescent="0.15">
      <c r="A81" s="30" t="s">
        <v>293</v>
      </c>
      <c r="B81" s="11" t="s">
        <v>184</v>
      </c>
      <c r="C81" s="30" t="s">
        <v>46</v>
      </c>
      <c r="D81" s="3" t="s">
        <v>336</v>
      </c>
      <c r="F81" s="2"/>
      <c r="G81" s="3">
        <v>1</v>
      </c>
      <c r="I81" s="3">
        <v>60</v>
      </c>
    </row>
    <row r="82" spans="1:9" ht="15" x14ac:dyDescent="0.15">
      <c r="A82" s="30" t="s">
        <v>294</v>
      </c>
      <c r="B82" s="11" t="s">
        <v>185</v>
      </c>
      <c r="C82" s="30" t="s">
        <v>46</v>
      </c>
      <c r="D82" s="3" t="s">
        <v>337</v>
      </c>
      <c r="F82" s="2"/>
      <c r="G82" s="3">
        <v>1</v>
      </c>
      <c r="I82" s="3">
        <v>60</v>
      </c>
    </row>
    <row r="83" spans="1:9" ht="15" x14ac:dyDescent="0.15">
      <c r="A83" s="30" t="s">
        <v>295</v>
      </c>
      <c r="B83" s="11" t="s">
        <v>186</v>
      </c>
      <c r="C83" s="30" t="s">
        <v>46</v>
      </c>
      <c r="D83" s="26" t="s">
        <v>338</v>
      </c>
      <c r="F83" s="2"/>
      <c r="G83" s="3">
        <v>1</v>
      </c>
      <c r="I83" s="3">
        <v>60</v>
      </c>
    </row>
    <row r="84" spans="1:9" ht="15" x14ac:dyDescent="0.15">
      <c r="A84" s="30" t="s">
        <v>296</v>
      </c>
      <c r="B84" s="11" t="s">
        <v>187</v>
      </c>
      <c r="C84" s="30" t="s">
        <v>46</v>
      </c>
      <c r="D84" s="3" t="s">
        <v>339</v>
      </c>
      <c r="F84" s="2"/>
      <c r="G84" s="3">
        <v>1</v>
      </c>
      <c r="I84" s="3">
        <v>60</v>
      </c>
    </row>
    <row r="85" spans="1:9" ht="15" x14ac:dyDescent="0.15">
      <c r="A85" s="30" t="s">
        <v>297</v>
      </c>
      <c r="B85" s="11" t="s">
        <v>217</v>
      </c>
      <c r="C85" s="30" t="s">
        <v>46</v>
      </c>
      <c r="D85" s="3" t="s">
        <v>340</v>
      </c>
      <c r="G85" s="3">
        <v>1</v>
      </c>
      <c r="I85" s="3">
        <v>60</v>
      </c>
    </row>
    <row r="86" spans="1:9" ht="15" x14ac:dyDescent="0.15">
      <c r="A86" s="30" t="s">
        <v>298</v>
      </c>
      <c r="B86" s="11" t="s">
        <v>218</v>
      </c>
      <c r="C86" s="30" t="s">
        <v>46</v>
      </c>
      <c r="D86" s="3" t="s">
        <v>341</v>
      </c>
      <c r="G86" s="3">
        <v>1</v>
      </c>
      <c r="I86" s="3">
        <v>60</v>
      </c>
    </row>
    <row r="87" spans="1:9" ht="15" x14ac:dyDescent="0.15">
      <c r="A87" s="30" t="s">
        <v>299</v>
      </c>
      <c r="B87" s="11" t="s">
        <v>219</v>
      </c>
      <c r="C87" s="30" t="s">
        <v>46</v>
      </c>
      <c r="D87" s="3" t="s">
        <v>342</v>
      </c>
      <c r="G87" s="3">
        <v>1</v>
      </c>
      <c r="I87" s="3">
        <v>60</v>
      </c>
    </row>
    <row r="88" spans="1:9" ht="15" x14ac:dyDescent="0.15">
      <c r="A88" s="30" t="s">
        <v>300</v>
      </c>
      <c r="B88" s="11" t="s">
        <v>222</v>
      </c>
      <c r="C88" s="30" t="s">
        <v>46</v>
      </c>
      <c r="D88" s="3" t="s">
        <v>379</v>
      </c>
      <c r="G88" s="3">
        <v>1</v>
      </c>
      <c r="I88" s="3">
        <v>60</v>
      </c>
    </row>
    <row r="89" spans="1:9" ht="15" x14ac:dyDescent="0.15">
      <c r="A89" s="30" t="s">
        <v>301</v>
      </c>
      <c r="B89" s="11" t="s">
        <v>223</v>
      </c>
      <c r="C89" s="30" t="s">
        <v>46</v>
      </c>
      <c r="D89" s="3" t="s">
        <v>343</v>
      </c>
      <c r="G89" s="3">
        <v>1</v>
      </c>
      <c r="I89" s="3">
        <v>60</v>
      </c>
    </row>
    <row r="90" spans="1:9" ht="15" x14ac:dyDescent="0.15">
      <c r="A90" s="30" t="s">
        <v>302</v>
      </c>
      <c r="B90" s="11" t="s">
        <v>224</v>
      </c>
      <c r="C90" s="30" t="s">
        <v>46</v>
      </c>
      <c r="D90" s="3" t="s">
        <v>344</v>
      </c>
      <c r="G90" s="3">
        <v>1</v>
      </c>
      <c r="I90" s="3">
        <v>60</v>
      </c>
    </row>
    <row r="91" spans="1:9" ht="15" x14ac:dyDescent="0.15">
      <c r="A91" s="30" t="s">
        <v>303</v>
      </c>
      <c r="B91" s="11" t="s">
        <v>225</v>
      </c>
      <c r="C91" s="30" t="s">
        <v>46</v>
      </c>
      <c r="D91" s="3" t="s">
        <v>345</v>
      </c>
      <c r="G91" s="3">
        <v>1</v>
      </c>
      <c r="I91" s="3">
        <v>60</v>
      </c>
    </row>
    <row r="92" spans="1:9" ht="15" x14ac:dyDescent="0.15">
      <c r="A92" s="30" t="s">
        <v>304</v>
      </c>
      <c r="B92" s="11" t="s">
        <v>226</v>
      </c>
      <c r="C92" s="30" t="s">
        <v>46</v>
      </c>
      <c r="D92" s="3" t="s">
        <v>346</v>
      </c>
      <c r="G92" s="3">
        <v>1</v>
      </c>
      <c r="I92" s="3">
        <v>60</v>
      </c>
    </row>
    <row r="93" spans="1:9" ht="15" x14ac:dyDescent="0.15">
      <c r="A93" s="30" t="s">
        <v>305</v>
      </c>
      <c r="B93" s="11" t="s">
        <v>227</v>
      </c>
      <c r="C93" s="30" t="s">
        <v>46</v>
      </c>
      <c r="D93" s="3" t="s">
        <v>347</v>
      </c>
      <c r="G93" s="3">
        <v>1</v>
      </c>
      <c r="I93" s="3">
        <v>60</v>
      </c>
    </row>
    <row r="94" spans="1:9" ht="15" x14ac:dyDescent="0.15">
      <c r="A94" s="30" t="s">
        <v>306</v>
      </c>
      <c r="B94" s="11" t="s">
        <v>228</v>
      </c>
      <c r="C94" s="30" t="s">
        <v>46</v>
      </c>
      <c r="D94" s="26" t="s">
        <v>348</v>
      </c>
      <c r="G94" s="3">
        <v>1</v>
      </c>
      <c r="I94" s="3">
        <v>60</v>
      </c>
    </row>
    <row r="95" spans="1:9" ht="15" x14ac:dyDescent="0.15">
      <c r="A95" s="30" t="s">
        <v>307</v>
      </c>
      <c r="B95" s="11" t="s">
        <v>229</v>
      </c>
      <c r="C95" s="30" t="s">
        <v>46</v>
      </c>
      <c r="D95" s="26" t="s">
        <v>349</v>
      </c>
      <c r="G95" s="3">
        <v>1</v>
      </c>
      <c r="I95" s="3">
        <v>60</v>
      </c>
    </row>
    <row r="96" spans="1:9" ht="15" x14ac:dyDescent="0.15">
      <c r="A96" s="30" t="s">
        <v>308</v>
      </c>
      <c r="B96" s="11" t="s">
        <v>230</v>
      </c>
      <c r="C96" s="30" t="s">
        <v>46</v>
      </c>
      <c r="D96" s="26" t="s">
        <v>350</v>
      </c>
      <c r="G96" s="3">
        <v>1</v>
      </c>
      <c r="I96" s="3">
        <v>60</v>
      </c>
    </row>
    <row r="97" spans="1:9" ht="15" x14ac:dyDescent="0.15">
      <c r="A97" s="30" t="s">
        <v>309</v>
      </c>
      <c r="B97" s="11" t="s">
        <v>231</v>
      </c>
      <c r="C97" s="30" t="s">
        <v>46</v>
      </c>
      <c r="D97" s="26" t="s">
        <v>351</v>
      </c>
      <c r="G97" s="3">
        <v>1</v>
      </c>
      <c r="I97" s="3">
        <v>20</v>
      </c>
    </row>
    <row r="98" spans="1:9" ht="15" x14ac:dyDescent="0.15">
      <c r="A98" s="3" t="s">
        <v>356</v>
      </c>
      <c r="B98" s="11" t="s">
        <v>358</v>
      </c>
      <c r="C98" s="30" t="s">
        <v>46</v>
      </c>
      <c r="D98" s="26" t="s">
        <v>357</v>
      </c>
      <c r="G98" s="3">
        <v>1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99</v>
      </c>
    </row>
    <row r="2" spans="1:1" ht="15" x14ac:dyDescent="0.15">
      <c r="A2" s="1" t="s">
        <v>87</v>
      </c>
    </row>
    <row r="3" spans="1:1" ht="15" x14ac:dyDescent="0.15">
      <c r="A3" s="5" t="s">
        <v>100</v>
      </c>
    </row>
    <row r="4" spans="1:1" ht="15" x14ac:dyDescent="0.15">
      <c r="A4" s="1" t="s">
        <v>88</v>
      </c>
    </row>
    <row r="5" spans="1:1" ht="15" x14ac:dyDescent="0.15">
      <c r="A5" s="1" t="s">
        <v>17</v>
      </c>
    </row>
    <row r="6" spans="1:1" ht="15" x14ac:dyDescent="0.15">
      <c r="A6" s="1" t="s">
        <v>18</v>
      </c>
    </row>
    <row r="7" spans="1:1" ht="15" x14ac:dyDescent="0.15">
      <c r="A7" s="1" t="s">
        <v>19</v>
      </c>
    </row>
    <row r="8" spans="1:1" ht="15" x14ac:dyDescent="0.15">
      <c r="A8" s="1" t="s">
        <v>20</v>
      </c>
    </row>
    <row r="9" spans="1:1" ht="15" x14ac:dyDescent="0.15">
      <c r="A9" s="1" t="s">
        <v>21</v>
      </c>
    </row>
    <row r="10" spans="1:1" ht="15" x14ac:dyDescent="0.15">
      <c r="A10" s="1" t="s">
        <v>22</v>
      </c>
    </row>
    <row r="11" spans="1:1" ht="15" x14ac:dyDescent="0.15">
      <c r="A11" s="1" t="s">
        <v>23</v>
      </c>
    </row>
    <row r="12" spans="1:1" ht="15" x14ac:dyDescent="0.15">
      <c r="A12" s="1" t="s">
        <v>24</v>
      </c>
    </row>
    <row r="13" spans="1:1" ht="15" x14ac:dyDescent="0.15">
      <c r="A13" s="1" t="s">
        <v>25</v>
      </c>
    </row>
    <row r="14" spans="1:1" ht="15" x14ac:dyDescent="0.15">
      <c r="A14" s="1" t="s">
        <v>26</v>
      </c>
    </row>
    <row r="15" spans="1:1" ht="15" x14ac:dyDescent="0.15">
      <c r="A15" s="1" t="s">
        <v>27</v>
      </c>
    </row>
    <row r="16" spans="1:1" ht="15" x14ac:dyDescent="0.15">
      <c r="A16" s="1" t="s">
        <v>28</v>
      </c>
    </row>
    <row r="17" spans="1:1" ht="15" x14ac:dyDescent="0.15">
      <c r="A17" s="1" t="s">
        <v>29</v>
      </c>
    </row>
    <row r="18" spans="1:1" ht="15" x14ac:dyDescent="0.15">
      <c r="A18" s="1" t="s">
        <v>30</v>
      </c>
    </row>
    <row r="19" spans="1:1" ht="15" x14ac:dyDescent="0.15">
      <c r="A19" s="1" t="s">
        <v>91</v>
      </c>
    </row>
    <row r="20" spans="1:1" ht="15" x14ac:dyDescent="0.15">
      <c r="A20" s="9" t="s">
        <v>93</v>
      </c>
    </row>
    <row r="21" spans="1:1" ht="15" x14ac:dyDescent="0.15">
      <c r="A21" s="1" t="s">
        <v>31</v>
      </c>
    </row>
    <row r="22" spans="1:1" ht="15" x14ac:dyDescent="0.15">
      <c r="A22" s="1" t="s">
        <v>32</v>
      </c>
    </row>
    <row r="23" spans="1:1" ht="15" x14ac:dyDescent="0.15">
      <c r="A23" s="1" t="s">
        <v>33</v>
      </c>
    </row>
    <row r="24" spans="1:1" ht="15" x14ac:dyDescent="0.15">
      <c r="A24" s="1" t="s">
        <v>34</v>
      </c>
    </row>
    <row r="25" spans="1:1" ht="15" x14ac:dyDescent="0.15">
      <c r="A25" s="1" t="s">
        <v>89</v>
      </c>
    </row>
    <row r="26" spans="1:1" ht="15" x14ac:dyDescent="0.15">
      <c r="A26" s="9" t="s">
        <v>94</v>
      </c>
    </row>
    <row r="27" spans="1:1" ht="15" x14ac:dyDescent="0.15">
      <c r="A27" s="1" t="s">
        <v>90</v>
      </c>
    </row>
    <row r="28" spans="1:1" ht="15" x14ac:dyDescent="0.15">
      <c r="A28" s="9" t="s">
        <v>95</v>
      </c>
    </row>
    <row r="29" spans="1:1" ht="15" x14ac:dyDescent="0.15">
      <c r="A29" s="1" t="s">
        <v>92</v>
      </c>
    </row>
    <row r="30" spans="1:1" ht="15" x14ac:dyDescent="0.15">
      <c r="A30" s="9" t="s">
        <v>102</v>
      </c>
    </row>
    <row r="31" spans="1:1" x14ac:dyDescent="0.15">
      <c r="A31" s="10" t="s">
        <v>98</v>
      </c>
    </row>
    <row r="32" spans="1:1" x14ac:dyDescent="0.15">
      <c r="A32" s="6" t="s">
        <v>101</v>
      </c>
    </row>
    <row r="33" spans="1:1" x14ac:dyDescent="0.15">
      <c r="A33" s="10" t="s">
        <v>97</v>
      </c>
    </row>
    <row r="34" spans="1:1" x14ac:dyDescent="0.15">
      <c r="A34" s="6" t="s">
        <v>96</v>
      </c>
    </row>
    <row r="35" spans="1:1" x14ac:dyDescent="0.15">
      <c r="A35" s="6" t="s">
        <v>103</v>
      </c>
    </row>
    <row r="36" spans="1:1" x14ac:dyDescent="0.15">
      <c r="A36" s="6" t="s">
        <v>104</v>
      </c>
    </row>
    <row r="37" spans="1:1" x14ac:dyDescent="0.15">
      <c r="A37" s="6" t="s">
        <v>105</v>
      </c>
    </row>
    <row r="38" spans="1:1" ht="15" x14ac:dyDescent="0.15">
      <c r="A38" s="1" t="s">
        <v>205</v>
      </c>
    </row>
    <row r="39" spans="1:1" ht="15" x14ac:dyDescent="0.15">
      <c r="A39" s="1" t="s">
        <v>208</v>
      </c>
    </row>
    <row r="40" spans="1:1" ht="15" x14ac:dyDescent="0.15">
      <c r="A40" s="1" t="s">
        <v>206</v>
      </c>
    </row>
    <row r="41" spans="1:1" ht="15" x14ac:dyDescent="0.15">
      <c r="A41" s="1" t="s">
        <v>209</v>
      </c>
    </row>
    <row r="42" spans="1:1" ht="15" x14ac:dyDescent="0.15">
      <c r="A42" s="1" t="s">
        <v>207</v>
      </c>
    </row>
    <row r="43" spans="1:1" ht="15" x14ac:dyDescent="0.15">
      <c r="A43" s="1" t="s">
        <v>210</v>
      </c>
    </row>
    <row r="44" spans="1:1" ht="15" x14ac:dyDescent="0.15">
      <c r="A44" s="1" t="s">
        <v>213</v>
      </c>
    </row>
    <row r="45" spans="1:1" ht="15" x14ac:dyDescent="0.15">
      <c r="A45" s="1" t="s">
        <v>214</v>
      </c>
    </row>
    <row r="46" spans="1:1" ht="15" x14ac:dyDescent="0.15">
      <c r="A46" s="1" t="s">
        <v>215</v>
      </c>
    </row>
    <row r="47" spans="1:1" ht="15" x14ac:dyDescent="0.15">
      <c r="A47" s="1" t="s">
        <v>216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A33" workbookViewId="0">
      <selection activeCell="A75" sqref="A75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368</v>
      </c>
      <c r="L1" s="12" t="s">
        <v>378</v>
      </c>
      <c r="M1" s="12" t="s">
        <v>378</v>
      </c>
      <c r="N1" s="12" t="s">
        <v>378</v>
      </c>
      <c r="O1" s="12" t="s">
        <v>378</v>
      </c>
      <c r="P1" s="12" t="s">
        <v>378</v>
      </c>
      <c r="Q1" s="12" t="s">
        <v>378</v>
      </c>
      <c r="R1" s="12" t="s">
        <v>378</v>
      </c>
      <c r="S1" s="12" t="s">
        <v>378</v>
      </c>
      <c r="T1" s="12" t="s">
        <v>378</v>
      </c>
      <c r="U1" s="12" t="s">
        <v>378</v>
      </c>
      <c r="V1" s="12" t="s">
        <v>378</v>
      </c>
      <c r="W1" s="12" t="s">
        <v>378</v>
      </c>
      <c r="X1" s="12" t="s">
        <v>378</v>
      </c>
      <c r="Y1" s="12" t="s">
        <v>378</v>
      </c>
      <c r="Z1" s="6" t="s">
        <v>369</v>
      </c>
    </row>
    <row r="2" spans="1:26" x14ac:dyDescent="0.15">
      <c r="A2" t="s">
        <v>1</v>
      </c>
      <c r="B2" s="6" t="s">
        <v>35</v>
      </c>
      <c r="C2" s="4" t="s">
        <v>107</v>
      </c>
      <c r="D2" s="3" t="s">
        <v>221</v>
      </c>
      <c r="E2" s="12" t="s">
        <v>200</v>
      </c>
      <c r="F2" s="13" t="s">
        <v>201</v>
      </c>
      <c r="G2" s="13" t="s">
        <v>360</v>
      </c>
      <c r="H2" s="13" t="s">
        <v>361</v>
      </c>
      <c r="I2" s="12" t="s">
        <v>202</v>
      </c>
      <c r="J2" s="48" t="s">
        <v>203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106</v>
      </c>
      <c r="C3" s="52" t="s">
        <v>380</v>
      </c>
      <c r="D3" s="1" t="s">
        <v>220</v>
      </c>
      <c r="E3" s="23" t="s">
        <v>199</v>
      </c>
      <c r="F3" s="7" t="s">
        <v>188</v>
      </c>
      <c r="G3" s="8" t="s">
        <v>362</v>
      </c>
      <c r="H3" s="8" t="s">
        <v>363</v>
      </c>
      <c r="I3" s="7" t="s">
        <v>189</v>
      </c>
      <c r="J3" s="49" t="s">
        <v>198</v>
      </c>
      <c r="K3" s="23"/>
      <c r="L3" s="7" t="s">
        <v>190</v>
      </c>
      <c r="M3" s="7" t="s">
        <v>191</v>
      </c>
      <c r="N3" s="7" t="s">
        <v>192</v>
      </c>
      <c r="O3" s="7" t="s">
        <v>193</v>
      </c>
      <c r="P3" s="7" t="s">
        <v>194</v>
      </c>
      <c r="Q3" s="7" t="s">
        <v>195</v>
      </c>
      <c r="R3" s="7" t="s">
        <v>196</v>
      </c>
      <c r="S3" s="7" t="s">
        <v>197</v>
      </c>
      <c r="T3" s="8" t="s">
        <v>204</v>
      </c>
      <c r="U3" s="8" t="s">
        <v>232</v>
      </c>
      <c r="V3" s="42" t="s">
        <v>364</v>
      </c>
      <c r="W3" s="42" t="s">
        <v>365</v>
      </c>
      <c r="X3" s="42" t="s">
        <v>366</v>
      </c>
      <c r="Y3" s="42" t="s">
        <v>367</v>
      </c>
    </row>
    <row r="4" spans="1:26" ht="15" x14ac:dyDescent="0.15">
      <c r="A4" s="30" t="s">
        <v>37</v>
      </c>
      <c r="B4" s="11" t="s">
        <v>355</v>
      </c>
      <c r="C4" s="12" t="s">
        <v>359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370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38</v>
      </c>
      <c r="B5" s="11" t="s">
        <v>108</v>
      </c>
      <c r="C5" s="12" t="s">
        <v>359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371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41</v>
      </c>
      <c r="B6" s="11" t="s">
        <v>109</v>
      </c>
      <c r="C6" s="12" t="s">
        <v>359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43</v>
      </c>
      <c r="B7" s="11" t="s">
        <v>110</v>
      </c>
      <c r="C7" s="12" t="s">
        <v>359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372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39</v>
      </c>
      <c r="B8" s="11" t="s">
        <v>111</v>
      </c>
      <c r="C8" s="12" t="s">
        <v>359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373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45</v>
      </c>
      <c r="B9" s="11" t="s">
        <v>112</v>
      </c>
      <c r="C9" s="12" t="s">
        <v>359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47</v>
      </c>
      <c r="B10" s="11" t="s">
        <v>113</v>
      </c>
      <c r="C10" s="12" t="s">
        <v>359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374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49</v>
      </c>
      <c r="B11" s="11" t="s">
        <v>114</v>
      </c>
      <c r="C11" s="12" t="s">
        <v>359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375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52</v>
      </c>
      <c r="B12" s="11" t="s">
        <v>115</v>
      </c>
      <c r="C12" s="12" t="s">
        <v>359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54</v>
      </c>
      <c r="B13" s="11" t="s">
        <v>116</v>
      </c>
      <c r="C13" s="12" t="s">
        <v>359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377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56</v>
      </c>
      <c r="B14" s="11" t="s">
        <v>117</v>
      </c>
      <c r="C14" s="12" t="s">
        <v>359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377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58</v>
      </c>
      <c r="B15" s="11" t="s">
        <v>118</v>
      </c>
      <c r="C15" s="12" t="s">
        <v>359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376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16</v>
      </c>
      <c r="B16" s="11" t="s">
        <v>119</v>
      </c>
      <c r="C16" s="12" t="s">
        <v>359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376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61</v>
      </c>
      <c r="B17" s="11" t="s">
        <v>120</v>
      </c>
      <c r="C17" s="12" t="s">
        <v>359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376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63</v>
      </c>
      <c r="B18" s="11" t="s">
        <v>121</v>
      </c>
      <c r="C18" s="12" t="s">
        <v>359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376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65</v>
      </c>
      <c r="B19" s="11" t="s">
        <v>122</v>
      </c>
      <c r="C19" s="12" t="s">
        <v>359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376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67</v>
      </c>
      <c r="B20" s="11" t="s">
        <v>123</v>
      </c>
      <c r="C20" s="12" t="s">
        <v>359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376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71</v>
      </c>
      <c r="B21" s="11" t="s">
        <v>124</v>
      </c>
      <c r="C21" s="12" t="s">
        <v>359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376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69</v>
      </c>
      <c r="B22" s="11" t="s">
        <v>125</v>
      </c>
      <c r="C22" s="12" t="s">
        <v>359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376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81</v>
      </c>
      <c r="B23" s="11" t="s">
        <v>126</v>
      </c>
      <c r="C23" s="12" t="s">
        <v>359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376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79</v>
      </c>
      <c r="B24" s="11" t="s">
        <v>127</v>
      </c>
      <c r="C24" s="12" t="s">
        <v>359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376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83</v>
      </c>
      <c r="B25" s="11" t="s">
        <v>128</v>
      </c>
      <c r="C25" s="12" t="s">
        <v>359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376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77</v>
      </c>
      <c r="B26" s="11" t="s">
        <v>129</v>
      </c>
      <c r="C26" s="12" t="s">
        <v>359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376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75</v>
      </c>
      <c r="B27" s="11" t="s">
        <v>130</v>
      </c>
      <c r="C27" s="12" t="s">
        <v>359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376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73</v>
      </c>
      <c r="B28" s="11" t="s">
        <v>131</v>
      </c>
      <c r="C28" s="12" t="s">
        <v>359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376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85</v>
      </c>
      <c r="B29" s="11" t="s">
        <v>132</v>
      </c>
      <c r="C29" s="12" t="s">
        <v>381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246</v>
      </c>
      <c r="B30" s="11" t="s">
        <v>133</v>
      </c>
      <c r="C30" s="12" t="s">
        <v>381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247</v>
      </c>
      <c r="B31" s="11" t="s">
        <v>134</v>
      </c>
      <c r="C31" s="12" t="s">
        <v>381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248</v>
      </c>
      <c r="B32" s="11" t="s">
        <v>135</v>
      </c>
      <c r="C32" s="12" t="s">
        <v>381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249</v>
      </c>
      <c r="B33" s="11" t="s">
        <v>136</v>
      </c>
      <c r="C33" s="12" t="s">
        <v>381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250</v>
      </c>
      <c r="B34" s="11" t="s">
        <v>137</v>
      </c>
      <c r="C34" s="12" t="s">
        <v>381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251</v>
      </c>
      <c r="B35" s="11" t="s">
        <v>138</v>
      </c>
      <c r="C35" s="12" t="s">
        <v>359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252</v>
      </c>
      <c r="B36" s="11" t="s">
        <v>139</v>
      </c>
      <c r="C36" s="12" t="s">
        <v>359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253</v>
      </c>
      <c r="B37" s="11" t="s">
        <v>140</v>
      </c>
      <c r="C37" s="12" t="s">
        <v>359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254</v>
      </c>
      <c r="B38" s="11" t="s">
        <v>141</v>
      </c>
      <c r="C38" s="12" t="s">
        <v>359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255</v>
      </c>
      <c r="B39" s="11" t="s">
        <v>142</v>
      </c>
      <c r="C39" s="12" t="s">
        <v>359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256</v>
      </c>
      <c r="B40" s="11" t="s">
        <v>143</v>
      </c>
      <c r="C40" s="12" t="s">
        <v>359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257</v>
      </c>
      <c r="B41" s="11" t="s">
        <v>144</v>
      </c>
      <c r="C41" s="12" t="s">
        <v>359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258</v>
      </c>
      <c r="B42" s="11" t="s">
        <v>145</v>
      </c>
      <c r="C42" s="12" t="s">
        <v>359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259</v>
      </c>
      <c r="B43" s="11" t="s">
        <v>146</v>
      </c>
      <c r="C43" s="12" t="s">
        <v>359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260</v>
      </c>
      <c r="B44" s="11" t="s">
        <v>147</v>
      </c>
      <c r="C44" s="12" t="s">
        <v>359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261</v>
      </c>
      <c r="B45" s="11" t="s">
        <v>148</v>
      </c>
      <c r="C45" s="12" t="s">
        <v>359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262</v>
      </c>
      <c r="B46" s="11" t="s">
        <v>149</v>
      </c>
      <c r="C46" s="12" t="s">
        <v>381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263</v>
      </c>
      <c r="B47" s="11" t="s">
        <v>150</v>
      </c>
      <c r="C47" s="12" t="s">
        <v>381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264</v>
      </c>
      <c r="B48" s="11" t="s">
        <v>151</v>
      </c>
      <c r="C48" s="12" t="s">
        <v>381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265</v>
      </c>
      <c r="B49" s="11" t="s">
        <v>152</v>
      </c>
      <c r="C49" s="12" t="s">
        <v>381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266</v>
      </c>
      <c r="B50" s="11" t="s">
        <v>153</v>
      </c>
      <c r="C50" s="12" t="s">
        <v>381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267</v>
      </c>
      <c r="B51" s="11" t="s">
        <v>154</v>
      </c>
      <c r="C51" s="12" t="s">
        <v>381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268</v>
      </c>
      <c r="B52" s="11" t="s">
        <v>155</v>
      </c>
      <c r="C52" s="12" t="s">
        <v>381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269</v>
      </c>
      <c r="B53" s="11" t="s">
        <v>156</v>
      </c>
      <c r="C53" s="12" t="s">
        <v>381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270</v>
      </c>
      <c r="B54" s="11" t="s">
        <v>157</v>
      </c>
      <c r="C54" s="12" t="s">
        <v>381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271</v>
      </c>
      <c r="B55" s="11" t="s">
        <v>158</v>
      </c>
      <c r="C55" s="12" t="s">
        <v>381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272</v>
      </c>
      <c r="B56" s="11" t="s">
        <v>159</v>
      </c>
      <c r="C56" s="12" t="s">
        <v>381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273</v>
      </c>
      <c r="B57" s="11" t="s">
        <v>160</v>
      </c>
      <c r="C57" s="12" t="s">
        <v>381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274</v>
      </c>
      <c r="B58" s="11" t="s">
        <v>161</v>
      </c>
      <c r="C58" s="12" t="s">
        <v>381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275</v>
      </c>
      <c r="B59" s="11" t="s">
        <v>162</v>
      </c>
      <c r="C59" s="12" t="s">
        <v>381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276</v>
      </c>
      <c r="B60" s="11" t="s">
        <v>163</v>
      </c>
      <c r="C60" s="12" t="s">
        <v>381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277</v>
      </c>
      <c r="B61" s="11" t="s">
        <v>164</v>
      </c>
      <c r="C61" s="12" t="s">
        <v>381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278</v>
      </c>
      <c r="B62" s="11" t="s">
        <v>165</v>
      </c>
      <c r="C62" s="12" t="s">
        <v>381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279</v>
      </c>
      <c r="B63" s="11" t="s">
        <v>166</v>
      </c>
      <c r="C63" s="12" t="s">
        <v>381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280</v>
      </c>
      <c r="B64" s="11" t="s">
        <v>167</v>
      </c>
      <c r="C64" s="12" t="s">
        <v>381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281</v>
      </c>
      <c r="B65" s="11" t="s">
        <v>168</v>
      </c>
      <c r="C65" s="12" t="s">
        <v>381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282</v>
      </c>
      <c r="B66" s="11" t="s">
        <v>169</v>
      </c>
      <c r="C66" s="12" t="s">
        <v>381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282</v>
      </c>
      <c r="B67" s="11" t="s">
        <v>170</v>
      </c>
      <c r="C67" s="12" t="s">
        <v>381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282</v>
      </c>
      <c r="B68" s="11" t="s">
        <v>171</v>
      </c>
      <c r="C68" s="12" t="s">
        <v>381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282</v>
      </c>
      <c r="B69" s="11" t="s">
        <v>172</v>
      </c>
      <c r="C69" s="12" t="s">
        <v>381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282</v>
      </c>
      <c r="B70" s="11" t="s">
        <v>173</v>
      </c>
      <c r="C70" s="12" t="s">
        <v>381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382</v>
      </c>
      <c r="B71" s="11" t="s">
        <v>174</v>
      </c>
      <c r="C71" s="12" t="s">
        <v>381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284</v>
      </c>
      <c r="B72" s="11" t="s">
        <v>175</v>
      </c>
      <c r="C72" s="12" t="s">
        <v>381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285</v>
      </c>
      <c r="B73" s="11" t="s">
        <v>176</v>
      </c>
      <c r="C73" s="12" t="s">
        <v>381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286</v>
      </c>
      <c r="B74" s="11" t="s">
        <v>177</v>
      </c>
      <c r="C74" s="12" t="s">
        <v>381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287</v>
      </c>
      <c r="B75" s="11" t="s">
        <v>178</v>
      </c>
      <c r="C75" s="12" t="s">
        <v>381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288</v>
      </c>
      <c r="B76" s="11" t="s">
        <v>179</v>
      </c>
      <c r="C76" s="12" t="s">
        <v>381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289</v>
      </c>
      <c r="B77" s="11" t="s">
        <v>180</v>
      </c>
      <c r="C77" s="12" t="s">
        <v>381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290</v>
      </c>
      <c r="B78" s="11" t="s">
        <v>181</v>
      </c>
      <c r="C78" s="12" t="s">
        <v>381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291</v>
      </c>
      <c r="B79" s="11" t="s">
        <v>182</v>
      </c>
      <c r="C79" s="12" t="s">
        <v>381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292</v>
      </c>
      <c r="B80" s="11" t="s">
        <v>183</v>
      </c>
      <c r="C80" s="12" t="s">
        <v>381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293</v>
      </c>
      <c r="B81" s="11" t="s">
        <v>184</v>
      </c>
      <c r="C81" s="12" t="s">
        <v>381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294</v>
      </c>
      <c r="B82" s="11" t="s">
        <v>185</v>
      </c>
      <c r="C82" s="12" t="s">
        <v>381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295</v>
      </c>
      <c r="B83" s="11" t="s">
        <v>186</v>
      </c>
      <c r="C83" s="12" t="s">
        <v>381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296</v>
      </c>
      <c r="B84" s="11" t="s">
        <v>187</v>
      </c>
      <c r="C84" s="12" t="s">
        <v>381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297</v>
      </c>
      <c r="B85" s="11" t="s">
        <v>217</v>
      </c>
      <c r="C85" s="12" t="s">
        <v>381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298</v>
      </c>
      <c r="B86" s="11" t="s">
        <v>218</v>
      </c>
      <c r="C86" s="12" t="s">
        <v>381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299</v>
      </c>
      <c r="B87" s="11" t="s">
        <v>219</v>
      </c>
      <c r="C87" s="12" t="s">
        <v>381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300</v>
      </c>
      <c r="B88" s="11" t="s">
        <v>222</v>
      </c>
      <c r="C88" s="12" t="s">
        <v>381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301</v>
      </c>
      <c r="B89" s="11" t="s">
        <v>223</v>
      </c>
      <c r="C89" s="12" t="s">
        <v>381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302</v>
      </c>
      <c r="B90" s="11" t="s">
        <v>224</v>
      </c>
      <c r="C90" s="12" t="s">
        <v>381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303</v>
      </c>
      <c r="B91" s="11" t="s">
        <v>225</v>
      </c>
      <c r="C91" s="12" t="s">
        <v>381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304</v>
      </c>
      <c r="B92" s="11" t="s">
        <v>226</v>
      </c>
      <c r="C92" s="12" t="s">
        <v>381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305</v>
      </c>
      <c r="B93" s="11" t="s">
        <v>227</v>
      </c>
      <c r="C93" s="12" t="s">
        <v>381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306</v>
      </c>
      <c r="B94" s="11" t="s">
        <v>228</v>
      </c>
      <c r="C94" s="12" t="s">
        <v>381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307</v>
      </c>
      <c r="B95" s="11" t="s">
        <v>229</v>
      </c>
      <c r="C95" s="12" t="s">
        <v>381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308</v>
      </c>
      <c r="B96" s="11" t="s">
        <v>230</v>
      </c>
      <c r="C96" s="12" t="s">
        <v>381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309</v>
      </c>
      <c r="B97" s="11" t="s">
        <v>231</v>
      </c>
      <c r="C97" s="12" t="s">
        <v>359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f>L4/2</f>
        <v>25</v>
      </c>
      <c r="M97" s="43">
        <f>M4/2</f>
        <v>0.25</v>
      </c>
      <c r="N97" s="43">
        <f>N4/2</f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356</v>
      </c>
      <c r="B98" s="11" t="s">
        <v>358</v>
      </c>
      <c r="C98" s="12" t="s">
        <v>381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f>L4</f>
        <v>50</v>
      </c>
      <c r="M98" s="43">
        <f t="shared" ref="M98:Y98" si="39">M4</f>
        <v>0.5</v>
      </c>
      <c r="N98" s="43">
        <f t="shared" si="39"/>
        <v>250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2019-05-16T12:44:47Z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