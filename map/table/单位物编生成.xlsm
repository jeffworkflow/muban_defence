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FEF3336D-A80A-4A2C-81E1-FD7CFE5A713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2" i="29" l="1"/>
  <c r="M44" i="29"/>
  <c r="M40" i="29"/>
  <c r="M39" i="29" l="1"/>
  <c r="M38" i="29"/>
  <c r="M36" i="29"/>
  <c r="M92" i="29" l="1"/>
  <c r="N92" i="29"/>
  <c r="L92" i="29"/>
  <c r="M91" i="29"/>
  <c r="N91" i="29"/>
  <c r="L91" i="29"/>
  <c r="M90" i="29"/>
  <c r="N90" i="29"/>
  <c r="L90" i="29"/>
  <c r="L41" i="29"/>
  <c r="M37" i="29"/>
  <c r="M43" i="29" l="1"/>
  <c r="M41" i="29" s="1"/>
  <c r="M45" i="29" s="1"/>
  <c r="M58" i="29"/>
  <c r="N58" i="29"/>
  <c r="L58" i="29"/>
  <c r="M56" i="29"/>
  <c r="N56" i="29"/>
  <c r="L56" i="29"/>
  <c r="M54" i="29"/>
  <c r="M55" i="29" s="1"/>
  <c r="N54" i="29"/>
  <c r="N55" i="29" s="1"/>
  <c r="M53" i="29"/>
  <c r="M47" i="29"/>
  <c r="N45" i="29"/>
  <c r="N9" i="29"/>
  <c r="N10" i="29"/>
  <c r="N4" i="29"/>
  <c r="N5" i="29"/>
  <c r="N6" i="29" s="1"/>
  <c r="N7" i="29" s="1"/>
  <c r="N44" i="29" l="1"/>
  <c r="N43" i="29"/>
  <c r="N40" i="29" s="1"/>
  <c r="N39" i="29"/>
  <c r="N72" i="29" l="1"/>
  <c r="N71" i="29"/>
  <c r="M72" i="29"/>
  <c r="L79" i="29" l="1"/>
  <c r="L76" i="29"/>
  <c r="M76" i="29"/>
  <c r="L71" i="29"/>
  <c r="L72" i="29"/>
  <c r="M51" i="29"/>
  <c r="N51" i="29"/>
  <c r="M49" i="29"/>
  <c r="N49" i="29"/>
  <c r="N47" i="29"/>
  <c r="M25" i="29" l="1"/>
  <c r="L25" i="29"/>
  <c r="M24" i="29"/>
  <c r="L24" i="29"/>
  <c r="M20" i="29"/>
  <c r="L20" i="29"/>
  <c r="M19" i="29"/>
  <c r="L19" i="29"/>
  <c r="L55" i="29"/>
  <c r="L37" i="29" l="1"/>
  <c r="N41" i="29" l="1"/>
  <c r="L13" i="29" l="1"/>
  <c r="M9" i="29"/>
  <c r="M10" i="29" s="1"/>
  <c r="M11" i="29" s="1"/>
  <c r="M12" i="29" s="1"/>
  <c r="M13" i="29" s="1"/>
  <c r="M14" i="29" s="1"/>
  <c r="L9" i="29"/>
  <c r="N11" i="29" l="1"/>
  <c r="N12" i="29" s="1"/>
  <c r="N13" i="29" s="1"/>
  <c r="M15" i="29"/>
  <c r="N14" i="29" l="1"/>
  <c r="N15" i="29" s="1"/>
  <c r="N30" i="29"/>
  <c r="M16" i="29"/>
  <c r="M17" i="29" s="1"/>
  <c r="M18" i="29" s="1"/>
  <c r="L43" i="29"/>
  <c r="L40" i="29" s="1"/>
  <c r="L44" i="29" s="1"/>
  <c r="N42" i="29"/>
  <c r="M21" i="29" l="1"/>
  <c r="M22" i="29" s="1"/>
  <c r="M23" i="29" s="1"/>
  <c r="L45" i="29"/>
  <c r="M79" i="29"/>
  <c r="M80" i="29"/>
  <c r="M57" i="29"/>
  <c r="L57" i="29"/>
  <c r="L54" i="29"/>
  <c r="L53" i="29"/>
  <c r="N16" i="29"/>
  <c r="N17" i="29" s="1"/>
  <c r="N18" i="29" s="1"/>
  <c r="N19" i="29" s="1"/>
  <c r="N20" i="29" s="1"/>
  <c r="M29" i="29"/>
  <c r="N29" i="29"/>
  <c r="M30" i="29"/>
  <c r="M59" i="29" l="1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24" i="29" s="1"/>
  <c r="N25" i="29" s="1"/>
  <c r="N31" i="29"/>
  <c r="M31" i="29"/>
  <c r="M60" i="29" l="1"/>
  <c r="M61" i="29" s="1"/>
  <c r="M83" i="29" s="1"/>
  <c r="M94" i="29" s="1"/>
  <c r="M82" i="29"/>
  <c r="N26" i="29"/>
  <c r="N27" i="29" s="1"/>
  <c r="N28" i="29" s="1"/>
  <c r="N32" i="29"/>
  <c r="M34" i="29"/>
  <c r="Q111" i="29"/>
  <c r="Q112" i="29" s="1"/>
  <c r="X111" i="29"/>
  <c r="X112" i="29" s="1"/>
  <c r="M73" i="29" l="1"/>
  <c r="M62" i="29"/>
  <c r="M63" i="29" s="1"/>
  <c r="N33" i="29"/>
  <c r="N34" i="29" s="1"/>
  <c r="X99" i="29"/>
  <c r="Q99" i="29"/>
  <c r="P99" i="29"/>
  <c r="O99" i="29"/>
  <c r="M100" i="29" l="1"/>
  <c r="M64" i="29"/>
  <c r="M65" i="29" s="1"/>
  <c r="M77" i="29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T69" i="29"/>
  <c r="P69" i="29"/>
  <c r="O69" i="29"/>
  <c r="U68" i="29"/>
  <c r="T68" i="29"/>
  <c r="P68" i="29"/>
  <c r="O68" i="29"/>
  <c r="U67" i="29"/>
  <c r="T67" i="29"/>
  <c r="T97" i="29" s="1"/>
  <c r="P67" i="29"/>
  <c r="P97" i="29" s="1"/>
  <c r="O67" i="29"/>
  <c r="T66" i="29"/>
  <c r="P66" i="29"/>
  <c r="O66" i="29"/>
  <c r="T65" i="29"/>
  <c r="T95" i="29" s="1"/>
  <c r="P65" i="29"/>
  <c r="P95" i="29" s="1"/>
  <c r="O65" i="29"/>
  <c r="O95" i="29" s="1"/>
  <c r="T63" i="29"/>
  <c r="P63" i="29"/>
  <c r="O63" i="29"/>
  <c r="T61" i="29"/>
  <c r="T94" i="29" s="1"/>
  <c r="P61" i="29"/>
  <c r="P94" i="29" s="1"/>
  <c r="O61" i="29"/>
  <c r="O9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T52" i="29"/>
  <c r="T80" i="29" s="1"/>
  <c r="T43" i="29" s="1"/>
  <c r="P52" i="29"/>
  <c r="P80" i="29" s="1"/>
  <c r="O52" i="29"/>
  <c r="O80" i="29" s="1"/>
  <c r="T51" i="29"/>
  <c r="T49" i="29"/>
  <c r="P49" i="29"/>
  <c r="P75" i="29" s="1"/>
  <c r="O49" i="29"/>
  <c r="T47" i="29"/>
  <c r="P47" i="29"/>
  <c r="O47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U33" i="29"/>
  <c r="U31" i="29"/>
  <c r="U30" i="29"/>
  <c r="U29" i="29"/>
  <c r="M85" i="29" l="1"/>
  <c r="M86" i="29" s="1"/>
  <c r="M87" i="29" s="1"/>
  <c r="M96" i="29" s="1"/>
  <c r="M74" i="29"/>
  <c r="M111" i="29" s="1"/>
  <c r="M112" i="29" s="1"/>
  <c r="M113" i="29" s="1"/>
  <c r="M114" i="29" s="1"/>
  <c r="M78" i="29"/>
  <c r="T75" i="29"/>
  <c r="P51" i="29"/>
  <c r="O75" i="29"/>
  <c r="U42" i="29"/>
  <c r="U37" i="29" s="1"/>
  <c r="P55" i="29"/>
  <c r="P73" i="29" s="1"/>
  <c r="O73" i="29"/>
  <c r="O51" i="29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U111" i="29"/>
  <c r="U36" i="29"/>
  <c r="P96" i="29"/>
  <c r="T83" i="29"/>
  <c r="T35" i="29" s="1"/>
  <c r="T73" i="29"/>
  <c r="O96" i="29"/>
  <c r="R4" i="29"/>
  <c r="T85" i="29"/>
  <c r="T96" i="29"/>
  <c r="T92" i="29"/>
  <c r="O90" i="29"/>
  <c r="O38" i="29" s="1"/>
  <c r="O76" i="29"/>
  <c r="O83" i="29"/>
  <c r="O85" i="29"/>
  <c r="R8" i="29"/>
  <c r="P76" i="29"/>
  <c r="P88" i="29"/>
  <c r="P59" i="29" s="1"/>
  <c r="P87" i="29" s="1"/>
  <c r="T76" i="29"/>
  <c r="P90" i="29"/>
  <c r="P38" i="29" s="1"/>
  <c r="M95" i="29" l="1"/>
  <c r="M88" i="29"/>
  <c r="M109" i="29" s="1"/>
  <c r="U40" i="29"/>
  <c r="P83" i="29"/>
  <c r="P35" i="29" s="1"/>
  <c r="O74" i="29"/>
  <c r="O111" i="29"/>
  <c r="O91" i="29" s="1"/>
  <c r="O36" i="29" s="1"/>
  <c r="O54" i="29"/>
  <c r="T46" i="29"/>
  <c r="T41" i="29"/>
  <c r="O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44" i="29"/>
  <c r="O46" i="29"/>
  <c r="O41" i="29"/>
  <c r="P62" i="29"/>
  <c r="P40" i="29" s="1"/>
  <c r="P50" i="29"/>
  <c r="P79" i="29" s="1"/>
  <c r="P39" i="29" s="1"/>
  <c r="U38" i="29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U78" i="29"/>
  <c r="O64" i="29"/>
  <c r="O78" i="29" s="1"/>
  <c r="P91" i="29"/>
  <c r="P36" i="29" s="1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T90" i="29" l="1"/>
  <c r="T38" i="29" s="1"/>
  <c r="T87" i="29"/>
  <c r="T111" i="29"/>
  <c r="T112" i="29" s="1"/>
  <c r="T54" i="29"/>
  <c r="T82" i="29" l="1"/>
  <c r="T72" i="29" s="1"/>
  <c r="T100" i="29" s="1"/>
  <c r="T40" i="29"/>
  <c r="L47" i="29"/>
  <c r="T113" i="29"/>
  <c r="T93" i="29" s="1"/>
  <c r="T48" i="29" s="1"/>
  <c r="T71" i="29" s="1"/>
  <c r="T58" i="29" s="1"/>
  <c r="O113" i="29"/>
  <c r="O114" i="29" s="1"/>
  <c r="T86" i="29" l="1"/>
  <c r="T77" i="29"/>
  <c r="T114" i="29"/>
  <c r="O98" i="29"/>
  <c r="O93" i="29"/>
  <c r="O48" i="29" s="1"/>
  <c r="O71" i="29" s="1"/>
  <c r="U32" i="29" l="1"/>
  <c r="U71" i="29" s="1"/>
  <c r="U35" i="29" l="1"/>
  <c r="U100" i="29" l="1"/>
  <c r="U112" i="29"/>
  <c r="U113" i="29" l="1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L42" i="29" l="1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L89" i="29" s="1"/>
  <c r="N52" i="29"/>
  <c r="N53" i="29" s="1"/>
  <c r="N79" i="29" s="1"/>
  <c r="R13" i="29"/>
  <c r="R55" i="29" s="1"/>
  <c r="R73" i="29" s="1"/>
  <c r="R30" i="29"/>
  <c r="L59" i="29" l="1"/>
  <c r="L60" i="29" s="1"/>
  <c r="L82" i="29"/>
  <c r="R14" i="29"/>
  <c r="L67" i="29"/>
  <c r="L26" i="29"/>
  <c r="L61" i="29" l="1"/>
  <c r="R56" i="29"/>
  <c r="R84" i="29" s="1"/>
  <c r="R40" i="29"/>
  <c r="R44" i="29"/>
  <c r="R15" i="29"/>
  <c r="R57" i="29" s="1"/>
  <c r="N80" i="29"/>
  <c r="L68" i="29"/>
  <c r="L27" i="29"/>
  <c r="L62" i="29" l="1"/>
  <c r="L73" i="29"/>
  <c r="L100" i="29"/>
  <c r="L83" i="29"/>
  <c r="L94" i="29" s="1"/>
  <c r="L69" i="29"/>
  <c r="L28" i="29"/>
  <c r="L70" i="29" s="1"/>
  <c r="L32" i="29" s="1"/>
  <c r="R85" i="29"/>
  <c r="R93" i="29"/>
  <c r="N76" i="29"/>
  <c r="N57" i="29"/>
  <c r="R16" i="29"/>
  <c r="R41" i="29" s="1"/>
  <c r="N81" i="29" l="1"/>
  <c r="N93" i="29" s="1"/>
  <c r="N89" i="29" s="1"/>
  <c r="L63" i="29"/>
  <c r="L33" i="29"/>
  <c r="L34" i="29" s="1"/>
  <c r="N59" i="29"/>
  <c r="N60" i="29" s="1"/>
  <c r="R17" i="29"/>
  <c r="R59" i="29" s="1"/>
  <c r="L77" i="29" l="1"/>
  <c r="L64" i="29"/>
  <c r="L65" i="29" s="1"/>
  <c r="N61" i="29"/>
  <c r="L84" i="29"/>
  <c r="N82" i="29"/>
  <c r="R87" i="29"/>
  <c r="R90" i="29"/>
  <c r="R38" i="29" s="1"/>
  <c r="R31" i="29"/>
  <c r="R18" i="29"/>
  <c r="L85" i="29" l="1"/>
  <c r="L95" i="29" s="1"/>
  <c r="L78" i="29"/>
  <c r="L74" i="29"/>
  <c r="L111" i="29" s="1"/>
  <c r="L112" i="29" s="1"/>
  <c r="L113" i="29" s="1"/>
  <c r="L114" i="29" s="1"/>
  <c r="N73" i="29"/>
  <c r="N62" i="29"/>
  <c r="N63" i="29" s="1"/>
  <c r="N64" i="29" s="1"/>
  <c r="L86" i="29"/>
  <c r="L87" i="29" s="1"/>
  <c r="L88" i="29" s="1"/>
  <c r="N83" i="29"/>
  <c r="N94" i="29" s="1"/>
  <c r="R19" i="29"/>
  <c r="R61" i="29" s="1"/>
  <c r="R94" i="29" s="1"/>
  <c r="R60" i="29"/>
  <c r="R42" i="29"/>
  <c r="R37" i="29" s="1"/>
  <c r="L96" i="29" l="1"/>
  <c r="N100" i="29"/>
  <c r="R20" i="29"/>
  <c r="R62" i="29" s="1"/>
  <c r="R88" i="29"/>
  <c r="R74" i="29"/>
  <c r="R111" i="29" s="1"/>
  <c r="R112" i="29" s="1"/>
  <c r="R113" i="29" s="1"/>
  <c r="R114" i="29" s="1"/>
  <c r="L109" i="29"/>
  <c r="N65" i="29" l="1"/>
  <c r="N84" i="29"/>
  <c r="N77" i="29"/>
  <c r="R21" i="29"/>
  <c r="R63" i="29" s="1"/>
  <c r="R91" i="29" s="1"/>
  <c r="N85" i="29" l="1"/>
  <c r="N74" i="29"/>
  <c r="N86" i="29"/>
  <c r="N87" i="29" s="1"/>
  <c r="N95" i="29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R7" i="29"/>
  <c r="R49" i="29" s="1"/>
  <c r="R75" i="29" s="1"/>
  <c r="R6" i="29"/>
  <c r="R48" i="29" s="1"/>
  <c r="R71" i="29" s="1"/>
  <c r="N37" i="29"/>
  <c r="R5" i="29"/>
  <c r="R99" i="29" s="1"/>
  <c r="L6" i="29"/>
  <c r="L7" i="29"/>
  <c r="R47" i="29" l="1"/>
  <c r="R36" i="29"/>
</calcChain>
</file>

<file path=xl/sharedStrings.xml><?xml version="1.0" encoding="utf-8"?>
<sst xmlns="http://schemas.openxmlformats.org/spreadsheetml/2006/main" count="852" uniqueCount="439">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</sst>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10" activePane="bottomRight" state="frozen"/>
      <selection pane="topRight"/>
      <selection pane="bottomLeft"/>
      <selection pane="bottomRight" activeCell="E34" sqref="E34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431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433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434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437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436</v>
      </c>
      <c r="B77" s="11" t="s">
        <v>179</v>
      </c>
      <c r="C77" s="27" t="s">
        <v>350</v>
      </c>
      <c r="D77" s="3" t="s">
        <v>435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432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437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60</v>
      </c>
    </row>
    <row r="90" spans="1:9" ht="15" x14ac:dyDescent="0.15">
      <c r="A90" s="50" t="s">
        <v>358</v>
      </c>
      <c r="B90" s="11" t="s">
        <v>221</v>
      </c>
      <c r="C90" s="27" t="s">
        <v>426</v>
      </c>
      <c r="D90" s="3"/>
      <c r="G90" s="3">
        <v>1</v>
      </c>
      <c r="I90" s="3">
        <v>60</v>
      </c>
    </row>
    <row r="91" spans="1:9" ht="15" x14ac:dyDescent="0.15">
      <c r="A91" s="50" t="s">
        <v>359</v>
      </c>
      <c r="B91" s="11" t="s">
        <v>222</v>
      </c>
      <c r="C91" s="27" t="s">
        <v>427</v>
      </c>
      <c r="D91" s="3"/>
      <c r="G91" s="3">
        <v>0.8</v>
      </c>
      <c r="I91" s="3">
        <v>60</v>
      </c>
    </row>
    <row r="92" spans="1:9" ht="15" x14ac:dyDescent="0.15">
      <c r="A92" s="50" t="s">
        <v>360</v>
      </c>
      <c r="B92" s="11" t="s">
        <v>223</v>
      </c>
      <c r="C92" s="27" t="s">
        <v>428</v>
      </c>
      <c r="D92" s="3"/>
      <c r="G92" s="3">
        <v>0.7</v>
      </c>
      <c r="I92" s="3">
        <v>60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420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421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422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423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417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418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419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424</v>
      </c>
      <c r="B107" s="11" t="s">
        <v>386</v>
      </c>
      <c r="C107" s="27" t="s">
        <v>45</v>
      </c>
      <c r="D107" s="54" t="s">
        <v>415</v>
      </c>
      <c r="G107" s="3">
        <v>1</v>
      </c>
      <c r="I107" s="3">
        <v>60</v>
      </c>
    </row>
    <row r="108" spans="1:9" ht="15" x14ac:dyDescent="0.15">
      <c r="A108" s="52" t="s">
        <v>425</v>
      </c>
      <c r="B108" s="11" t="s">
        <v>387</v>
      </c>
      <c r="C108" s="27" t="s">
        <v>45</v>
      </c>
      <c r="D108" s="54" t="s">
        <v>414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416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430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429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4" activePane="bottomLeft" state="frozen"/>
      <selection activeCell="D1" sqref="D1"/>
      <selection pane="bottomLeft" activeCell="K20" sqref="K20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336</v>
      </c>
      <c r="L1" s="12" t="s">
        <v>338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6" t="s">
        <v>337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8" t="s">
        <v>438</v>
      </c>
      <c r="T3" s="8" t="s">
        <v>201</v>
      </c>
      <c r="U3" s="8" t="s">
        <v>229</v>
      </c>
      <c r="V3" s="38" t="s">
        <v>347</v>
      </c>
      <c r="W3" s="38" t="s">
        <v>348</v>
      </c>
      <c r="X3" s="38" t="s">
        <v>334</v>
      </c>
      <c r="Y3" s="38" t="s">
        <v>335</v>
      </c>
    </row>
    <row r="4" spans="1:26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L4*5*1.1</f>
        <v>110000.00000000001</v>
      </c>
      <c r="O4" s="35">
        <v>100</v>
      </c>
      <c r="P4" s="35">
        <v>350</v>
      </c>
      <c r="Q4" s="36">
        <v>1</v>
      </c>
      <c r="R4" s="35">
        <f t="shared" ref="R4:R34" si="0">N4*0.0001</f>
        <v>11.000000000000002</v>
      </c>
      <c r="S4" s="35">
        <v>0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v>0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v>0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v>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v>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" si="1">M8*2</f>
        <v>288</v>
      </c>
      <c r="N9" s="35">
        <f>N8*2*1.1</f>
        <v>17600000</v>
      </c>
      <c r="O9" s="35">
        <v>10000</v>
      </c>
      <c r="P9" s="35">
        <v>375</v>
      </c>
      <c r="Q9" s="36">
        <v>1</v>
      </c>
      <c r="R9" s="35">
        <f t="shared" si="0"/>
        <v>1760</v>
      </c>
      <c r="S9" s="35">
        <v>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" si="2">M9*1.5</f>
        <v>432</v>
      </c>
      <c r="N10" s="35">
        <f>N9*1.5</f>
        <v>26400000</v>
      </c>
      <c r="O10" s="35">
        <v>10000</v>
      </c>
      <c r="P10" s="35">
        <v>380</v>
      </c>
      <c r="Q10" s="36">
        <v>1</v>
      </c>
      <c r="R10" s="35">
        <f t="shared" si="0"/>
        <v>2640</v>
      </c>
      <c r="S10" s="35">
        <v>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3">M10*1.5</f>
        <v>648</v>
      </c>
      <c r="N11" s="35">
        <f t="shared" si="3"/>
        <v>39600000</v>
      </c>
      <c r="O11" s="35">
        <v>10000</v>
      </c>
      <c r="P11" s="35">
        <v>385</v>
      </c>
      <c r="Q11" s="36">
        <v>1</v>
      </c>
      <c r="R11" s="35">
        <f t="shared" si="0"/>
        <v>3960</v>
      </c>
      <c r="S11" s="35">
        <v>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4">M11*1.5</f>
        <v>972</v>
      </c>
      <c r="N12" s="35">
        <f t="shared" si="4"/>
        <v>59400000</v>
      </c>
      <c r="O12" s="35">
        <v>10000</v>
      </c>
      <c r="P12" s="35">
        <v>390</v>
      </c>
      <c r="Q12" s="36">
        <v>1</v>
      </c>
      <c r="R12" s="35">
        <f t="shared" si="0"/>
        <v>5940</v>
      </c>
      <c r="S12" s="35">
        <v>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5">M12*1.4</f>
        <v>1360.8</v>
      </c>
      <c r="N13" s="35">
        <f t="shared" si="5"/>
        <v>83160000</v>
      </c>
      <c r="O13" s="35">
        <v>10000</v>
      </c>
      <c r="P13" s="35">
        <v>395</v>
      </c>
      <c r="Q13" s="36">
        <v>0.9</v>
      </c>
      <c r="R13" s="35">
        <f t="shared" si="0"/>
        <v>8316</v>
      </c>
      <c r="S13" s="35">
        <v>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6">M13*1.3</f>
        <v>1769.04</v>
      </c>
      <c r="N14" s="35">
        <f t="shared" si="6"/>
        <v>108108000</v>
      </c>
      <c r="O14" s="35">
        <v>10000</v>
      </c>
      <c r="P14" s="35">
        <v>400</v>
      </c>
      <c r="Q14" s="36">
        <v>0.9</v>
      </c>
      <c r="R14" s="35">
        <f t="shared" si="0"/>
        <v>10810.800000000001</v>
      </c>
      <c r="S14" s="35">
        <v>0</v>
      </c>
      <c r="T14" s="37">
        <v>200</v>
      </c>
      <c r="U14" s="7">
        <v>150</v>
      </c>
      <c r="V14" s="42">
        <v>20</v>
      </c>
      <c r="W14" s="42">
        <v>1500</v>
      </c>
      <c r="X14" s="42">
        <v>5</v>
      </c>
      <c r="Y14" s="42">
        <v>50</v>
      </c>
    </row>
    <row r="15" spans="1:26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140540400</v>
      </c>
      <c r="O15" s="35">
        <v>10000</v>
      </c>
      <c r="P15" s="35">
        <v>405</v>
      </c>
      <c r="Q15" s="36">
        <v>0.9</v>
      </c>
      <c r="R15" s="35">
        <f t="shared" si="0"/>
        <v>14054.04</v>
      </c>
      <c r="S15" s="35">
        <v>0</v>
      </c>
      <c r="T15" s="37">
        <v>200</v>
      </c>
      <c r="U15" s="7">
        <v>150</v>
      </c>
      <c r="V15" s="42">
        <v>20</v>
      </c>
      <c r="W15" s="42">
        <v>1500</v>
      </c>
      <c r="X15" s="42">
        <v>5</v>
      </c>
      <c r="Y15" s="42">
        <v>50</v>
      </c>
    </row>
    <row r="16" spans="1:26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7">L15*1.2</f>
        <v>76658400</v>
      </c>
      <c r="M16" s="35">
        <f>M15*1.2</f>
        <v>2759.7023999999997</v>
      </c>
      <c r="N16" s="35">
        <f t="shared" ref="N16" si="8">N15*1.2</f>
        <v>168648480</v>
      </c>
      <c r="O16" s="35">
        <v>10000</v>
      </c>
      <c r="P16" s="35">
        <v>410</v>
      </c>
      <c r="Q16" s="36">
        <v>0.9</v>
      </c>
      <c r="R16" s="35">
        <f t="shared" si="0"/>
        <v>16864.848000000002</v>
      </c>
      <c r="S16" s="35">
        <v>0</v>
      </c>
      <c r="T16" s="37">
        <v>200</v>
      </c>
      <c r="U16" s="7">
        <v>150</v>
      </c>
      <c r="V16" s="42">
        <v>20</v>
      </c>
      <c r="W16" s="42">
        <v>1500</v>
      </c>
      <c r="X16" s="42">
        <v>5</v>
      </c>
      <c r="Y16" s="42">
        <v>50</v>
      </c>
    </row>
    <row r="17" spans="1:25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7"/>
        <v>91990080</v>
      </c>
      <c r="M17" s="35">
        <f t="shared" ref="M17:N17" si="9">M16*1.2</f>
        <v>3311.6428799999994</v>
      </c>
      <c r="N17" s="35">
        <f t="shared" si="9"/>
        <v>202378176</v>
      </c>
      <c r="O17" s="35">
        <v>10000</v>
      </c>
      <c r="P17" s="35">
        <v>415</v>
      </c>
      <c r="Q17" s="36">
        <v>0.9</v>
      </c>
      <c r="R17" s="35">
        <f t="shared" si="0"/>
        <v>20237.817600000002</v>
      </c>
      <c r="S17" s="35">
        <v>0</v>
      </c>
      <c r="T17" s="37">
        <v>200</v>
      </c>
      <c r="U17" s="7">
        <v>150</v>
      </c>
      <c r="V17" s="42">
        <v>20</v>
      </c>
      <c r="W17" s="42">
        <v>1500</v>
      </c>
      <c r="X17" s="42">
        <v>5</v>
      </c>
      <c r="Y17" s="42">
        <v>50</v>
      </c>
    </row>
    <row r="18" spans="1:25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7"/>
        <v>110388096</v>
      </c>
      <c r="M18" s="35">
        <f t="shared" ref="M18:N18" si="10">M17*1.2</f>
        <v>3973.9714559999993</v>
      </c>
      <c r="N18" s="35">
        <f t="shared" si="10"/>
        <v>242853811.19999999</v>
      </c>
      <c r="O18" s="35">
        <v>10000</v>
      </c>
      <c r="P18" s="35">
        <v>420</v>
      </c>
      <c r="Q18" s="36">
        <v>0.9</v>
      </c>
      <c r="R18" s="35">
        <f t="shared" si="0"/>
        <v>24285.381119999998</v>
      </c>
      <c r="S18" s="35">
        <v>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1">M18*1.4</f>
        <v>5563.560038399999</v>
      </c>
      <c r="N19" s="35">
        <f t="shared" si="11"/>
        <v>339995335.67999995</v>
      </c>
      <c r="O19" s="35">
        <v>10000</v>
      </c>
      <c r="P19" s="35">
        <v>425</v>
      </c>
      <c r="Q19" s="36">
        <v>0.9</v>
      </c>
      <c r="R19" s="35">
        <f t="shared" si="0"/>
        <v>33999.533567999999</v>
      </c>
      <c r="S19" s="35">
        <v>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2">M19*1.3</f>
        <v>7232.6280499199993</v>
      </c>
      <c r="N20" s="35">
        <f t="shared" si="12"/>
        <v>441993936.38399994</v>
      </c>
      <c r="O20" s="35">
        <v>10000</v>
      </c>
      <c r="P20" s="35">
        <v>430</v>
      </c>
      <c r="Q20" s="36">
        <v>0.9</v>
      </c>
      <c r="R20" s="35">
        <f t="shared" si="0"/>
        <v>44199.393638399997</v>
      </c>
      <c r="S20" s="35">
        <v>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7"/>
        <v>241087601.66399994</v>
      </c>
      <c r="M21" s="35">
        <f t="shared" ref="M21:N21" si="13">M20*1.2</f>
        <v>8679.1536599039991</v>
      </c>
      <c r="N21" s="35">
        <f t="shared" si="13"/>
        <v>530392723.66079992</v>
      </c>
      <c r="O21" s="35">
        <v>10000</v>
      </c>
      <c r="P21" s="35">
        <v>435</v>
      </c>
      <c r="Q21" s="36">
        <v>0.9</v>
      </c>
      <c r="R21" s="35">
        <f t="shared" si="0"/>
        <v>53039.272366079997</v>
      </c>
      <c r="S21" s="35">
        <v>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7"/>
        <v>289305121.99679995</v>
      </c>
      <c r="M22" s="35">
        <f t="shared" ref="M22:N22" si="14">M21*1.2</f>
        <v>10414.984391884798</v>
      </c>
      <c r="N22" s="35">
        <f t="shared" si="14"/>
        <v>636471268.39295983</v>
      </c>
      <c r="O22" s="35">
        <v>10000</v>
      </c>
      <c r="P22" s="35">
        <v>440</v>
      </c>
      <c r="Q22" s="36">
        <v>0.9</v>
      </c>
      <c r="R22" s="35">
        <f t="shared" si="0"/>
        <v>63647.126839295983</v>
      </c>
      <c r="S22" s="35">
        <v>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7"/>
        <v>347166146.39615995</v>
      </c>
      <c r="M23" s="35">
        <f t="shared" ref="M23:N23" si="15">M22*1.2</f>
        <v>12497.981270261758</v>
      </c>
      <c r="N23" s="35">
        <f t="shared" si="15"/>
        <v>763765522.0715518</v>
      </c>
      <c r="O23" s="35">
        <v>10000</v>
      </c>
      <c r="P23" s="35">
        <v>445</v>
      </c>
      <c r="Q23" s="36">
        <v>0.9</v>
      </c>
      <c r="R23" s="35">
        <f t="shared" si="0"/>
        <v>76376.552207155182</v>
      </c>
      <c r="S23" s="35">
        <v>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6">M23*1.4</f>
        <v>17497.173778366461</v>
      </c>
      <c r="N24" s="35">
        <f t="shared" si="16"/>
        <v>1069271730.9001725</v>
      </c>
      <c r="O24" s="35">
        <v>10000</v>
      </c>
      <c r="P24" s="35">
        <v>450</v>
      </c>
      <c r="Q24" s="36">
        <v>0.75</v>
      </c>
      <c r="R24" s="35">
        <f t="shared" si="0"/>
        <v>106927.17309001726</v>
      </c>
      <c r="S24" s="35">
        <v>0</v>
      </c>
      <c r="T24" s="37">
        <v>200</v>
      </c>
      <c r="U24" s="7">
        <v>300</v>
      </c>
      <c r="V24" s="42">
        <v>20</v>
      </c>
      <c r="W24" s="42">
        <v>7500</v>
      </c>
      <c r="X24" s="42">
        <v>20</v>
      </c>
      <c r="Y24" s="42">
        <v>200</v>
      </c>
    </row>
    <row r="25" spans="1:25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7">M24*1.3</f>
        <v>22746.3259118764</v>
      </c>
      <c r="N25" s="35">
        <f t="shared" si="17"/>
        <v>1390053250.1702242</v>
      </c>
      <c r="O25" s="35">
        <v>10000</v>
      </c>
      <c r="P25" s="35">
        <v>455</v>
      </c>
      <c r="Q25" s="36">
        <v>0.75</v>
      </c>
      <c r="R25" s="35">
        <f t="shared" si="0"/>
        <v>139005.32501702243</v>
      </c>
      <c r="S25" s="35">
        <v>0</v>
      </c>
      <c r="T25" s="37">
        <v>200</v>
      </c>
      <c r="U25" s="7">
        <v>300</v>
      </c>
      <c r="V25" s="42">
        <v>20</v>
      </c>
      <c r="W25" s="42">
        <v>7500</v>
      </c>
      <c r="X25" s="42">
        <v>20</v>
      </c>
      <c r="Y25" s="42">
        <v>200</v>
      </c>
    </row>
    <row r="26" spans="1:25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7"/>
        <v>758210863.72921324</v>
      </c>
      <c r="M26" s="35">
        <f t="shared" ref="M26:N26" si="18">M25*1.2</f>
        <v>27295.591094251678</v>
      </c>
      <c r="N26" s="35">
        <f t="shared" si="18"/>
        <v>1668063900.2042689</v>
      </c>
      <c r="O26" s="35">
        <v>10000</v>
      </c>
      <c r="P26" s="35">
        <v>460</v>
      </c>
      <c r="Q26" s="36">
        <v>0.75</v>
      </c>
      <c r="R26" s="35">
        <f t="shared" si="0"/>
        <v>166806.39002042692</v>
      </c>
      <c r="S26" s="35">
        <v>0</v>
      </c>
      <c r="T26" s="37">
        <v>200</v>
      </c>
      <c r="U26" s="7">
        <v>300</v>
      </c>
      <c r="V26" s="42">
        <v>20</v>
      </c>
      <c r="W26" s="42">
        <v>7500</v>
      </c>
      <c r="X26" s="42">
        <v>20</v>
      </c>
      <c r="Y26" s="42">
        <v>200</v>
      </c>
    </row>
    <row r="27" spans="1:25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7"/>
        <v>909853036.47505581</v>
      </c>
      <c r="M27" s="35">
        <f t="shared" ref="M27:N27" si="19">M26*1.2</f>
        <v>32754.709313102012</v>
      </c>
      <c r="N27" s="35">
        <f t="shared" si="19"/>
        <v>2001676680.2451227</v>
      </c>
      <c r="O27" s="35">
        <v>10000</v>
      </c>
      <c r="P27" s="35">
        <v>465</v>
      </c>
      <c r="Q27" s="36">
        <v>0.75</v>
      </c>
      <c r="R27" s="35">
        <f t="shared" si="0"/>
        <v>200167.66802451227</v>
      </c>
      <c r="S27" s="35">
        <v>0</v>
      </c>
      <c r="T27" s="37">
        <v>200</v>
      </c>
      <c r="U27" s="7">
        <v>300</v>
      </c>
      <c r="V27" s="42">
        <v>20</v>
      </c>
      <c r="W27" s="42">
        <v>7500</v>
      </c>
      <c r="X27" s="42">
        <v>20</v>
      </c>
      <c r="Y27" s="42">
        <v>200</v>
      </c>
    </row>
    <row r="28" spans="1:25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7"/>
        <v>1091823643.770067</v>
      </c>
      <c r="M28" s="35">
        <f t="shared" ref="M28:N28" si="20">M27*1.2</f>
        <v>39305.651175722414</v>
      </c>
      <c r="N28" s="35">
        <f t="shared" si="20"/>
        <v>2402012016.294147</v>
      </c>
      <c r="O28" s="35">
        <v>10000</v>
      </c>
      <c r="P28" s="35">
        <v>470</v>
      </c>
      <c r="Q28" s="36">
        <v>0.75</v>
      </c>
      <c r="R28" s="35">
        <f t="shared" si="0"/>
        <v>240201.20162941472</v>
      </c>
      <c r="S28" s="35">
        <v>0</v>
      </c>
      <c r="T28" s="37">
        <v>200</v>
      </c>
      <c r="U28" s="7">
        <v>300</v>
      </c>
      <c r="V28" s="42">
        <v>20</v>
      </c>
      <c r="W28" s="42">
        <v>7500</v>
      </c>
      <c r="X28" s="42">
        <v>20</v>
      </c>
      <c r="Y28" s="42">
        <v>200</v>
      </c>
    </row>
    <row r="29" spans="1:25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1">M8*5</f>
        <v>720</v>
      </c>
      <c r="N29" s="7">
        <f t="shared" si="21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v>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2">M13*5</f>
        <v>6804</v>
      </c>
      <c r="N30" s="7">
        <f>N13*5</f>
        <v>415800000</v>
      </c>
      <c r="O30" s="35">
        <v>10000</v>
      </c>
      <c r="P30" s="35">
        <v>395</v>
      </c>
      <c r="Q30" s="36">
        <v>0.9</v>
      </c>
      <c r="R30" s="35">
        <f t="shared" si="0"/>
        <v>41580</v>
      </c>
      <c r="S30" s="35">
        <v>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3">M18*5</f>
        <v>19869.857279999997</v>
      </c>
      <c r="N31" s="7">
        <f t="shared" si="23"/>
        <v>1214269056</v>
      </c>
      <c r="O31" s="35">
        <v>10000</v>
      </c>
      <c r="P31" s="35">
        <v>410</v>
      </c>
      <c r="Q31" s="36">
        <v>0.8</v>
      </c>
      <c r="R31" s="35">
        <f t="shared" si="0"/>
        <v>121426.90560000001</v>
      </c>
      <c r="S31" s="35">
        <v>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4">N23*5</f>
        <v>3818827610.357759</v>
      </c>
      <c r="O32" s="35">
        <v>10000</v>
      </c>
      <c r="P32" s="35">
        <v>435</v>
      </c>
      <c r="Q32" s="36">
        <v>0.6</v>
      </c>
      <c r="R32" s="35">
        <f t="shared" si="0"/>
        <v>381882.76103577594</v>
      </c>
      <c r="S32" s="35">
        <v>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5">N32*1.5</f>
        <v>5728241415.5366383</v>
      </c>
      <c r="O33" s="35">
        <v>10000</v>
      </c>
      <c r="P33" s="7">
        <v>470</v>
      </c>
      <c r="Q33" s="36">
        <v>0.5</v>
      </c>
      <c r="R33" s="35">
        <f t="shared" si="0"/>
        <v>572824.14155366388</v>
      </c>
      <c r="S33" s="35"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6" t="s">
        <v>413</v>
      </c>
      <c r="K34" s="34"/>
      <c r="L34" s="39">
        <f>L33*0.6</f>
        <v>1562247658.7827196</v>
      </c>
      <c r="M34" s="39">
        <f t="shared" ref="M34:N34" si="26">M33*0.6</f>
        <v>56240.915716177908</v>
      </c>
      <c r="N34" s="39">
        <f t="shared" si="26"/>
        <v>3436944849.3219829</v>
      </c>
      <c r="O34" s="35">
        <v>10000</v>
      </c>
      <c r="P34" s="39">
        <v>350</v>
      </c>
      <c r="Q34" s="40">
        <v>0.6</v>
      </c>
      <c r="R34" s="39">
        <f t="shared" si="0"/>
        <v>343694.48493219831</v>
      </c>
      <c r="S34" s="35">
        <v>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2.25</v>
      </c>
      <c r="N35" s="39">
        <v>2500</v>
      </c>
      <c r="O35" s="39">
        <f t="shared" ref="O35:U35" si="27">O4</f>
        <v>100</v>
      </c>
      <c r="P35" s="39">
        <f t="shared" si="27"/>
        <v>350</v>
      </c>
      <c r="Q35" s="40">
        <f t="shared" si="27"/>
        <v>1</v>
      </c>
      <c r="R35" s="39">
        <f t="shared" si="27"/>
        <v>11.000000000000002</v>
      </c>
      <c r="S35" s="35">
        <v>0</v>
      </c>
      <c r="T35" s="39">
        <f t="shared" si="27"/>
        <v>200</v>
      </c>
      <c r="U35" s="39">
        <f t="shared" si="27"/>
        <v>10</v>
      </c>
      <c r="V35" s="42">
        <v>20</v>
      </c>
      <c r="W35" s="42">
        <v>100</v>
      </c>
      <c r="X35" s="42">
        <v>0</v>
      </c>
      <c r="Y35" s="42">
        <v>0</v>
      </c>
    </row>
    <row r="36" spans="1:25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f>M35*5</f>
        <v>11.25</v>
      </c>
      <c r="N36" s="39">
        <v>200000</v>
      </c>
      <c r="O36" s="39">
        <f t="shared" ref="O36:U36" si="28">O6</f>
        <v>100</v>
      </c>
      <c r="P36" s="39">
        <f t="shared" si="28"/>
        <v>360</v>
      </c>
      <c r="Q36" s="40">
        <f t="shared" si="28"/>
        <v>1</v>
      </c>
      <c r="R36" s="39">
        <f t="shared" si="28"/>
        <v>200</v>
      </c>
      <c r="S36" s="35">
        <v>0</v>
      </c>
      <c r="T36" s="39">
        <f t="shared" si="28"/>
        <v>200</v>
      </c>
      <c r="U36" s="39">
        <f t="shared" si="28"/>
        <v>30</v>
      </c>
      <c r="V36" s="42">
        <v>20</v>
      </c>
      <c r="W36" s="42">
        <v>100</v>
      </c>
      <c r="X36" s="42">
        <v>0</v>
      </c>
      <c r="Y36" s="42">
        <v>0</v>
      </c>
    </row>
    <row r="37" spans="1:25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M36*2.5</f>
        <v>28.125</v>
      </c>
      <c r="N37" s="39">
        <f>N5</f>
        <v>1000000</v>
      </c>
      <c r="O37" s="39">
        <f t="shared" ref="O37:U37" si="29">O8</f>
        <v>1000</v>
      </c>
      <c r="P37" s="39">
        <f t="shared" si="29"/>
        <v>370</v>
      </c>
      <c r="Q37" s="40">
        <f t="shared" si="29"/>
        <v>1</v>
      </c>
      <c r="R37" s="39">
        <f t="shared" si="29"/>
        <v>800</v>
      </c>
      <c r="S37" s="35">
        <v>0</v>
      </c>
      <c r="T37" s="39">
        <f t="shared" si="29"/>
        <v>200</v>
      </c>
      <c r="U37" s="39">
        <f t="shared" si="29"/>
        <v>50</v>
      </c>
      <c r="V37" s="42">
        <v>20</v>
      </c>
      <c r="W37" s="42">
        <v>100</v>
      </c>
      <c r="X37" s="42">
        <v>0</v>
      </c>
      <c r="Y37" s="42">
        <v>0</v>
      </c>
    </row>
    <row r="38" spans="1:25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f>M37*1.5</f>
        <v>42.1875</v>
      </c>
      <c r="N38" s="39">
        <v>4000000</v>
      </c>
      <c r="O38" s="39">
        <f t="shared" ref="O38:U38" si="30">O10</f>
        <v>10000</v>
      </c>
      <c r="P38" s="39">
        <f t="shared" si="30"/>
        <v>380</v>
      </c>
      <c r="Q38" s="40">
        <f t="shared" si="30"/>
        <v>1</v>
      </c>
      <c r="R38" s="39">
        <f t="shared" si="30"/>
        <v>2640</v>
      </c>
      <c r="S38" s="35">
        <v>0</v>
      </c>
      <c r="T38" s="39">
        <f t="shared" si="30"/>
        <v>200</v>
      </c>
      <c r="U38" s="39">
        <f t="shared" si="30"/>
        <v>70</v>
      </c>
      <c r="V38" s="42">
        <v>20</v>
      </c>
      <c r="W38" s="42">
        <v>100</v>
      </c>
      <c r="X38" s="42">
        <v>0</v>
      </c>
      <c r="Y38" s="42">
        <v>0</v>
      </c>
    </row>
    <row r="39" spans="1:25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M38*3</f>
        <v>126.5625</v>
      </c>
      <c r="N39" s="39">
        <f>N38*2</f>
        <v>8000000</v>
      </c>
      <c r="O39" s="39">
        <f t="shared" ref="O39:U39" si="31">O12</f>
        <v>10000</v>
      </c>
      <c r="P39" s="39">
        <f t="shared" si="31"/>
        <v>390</v>
      </c>
      <c r="Q39" s="40">
        <f t="shared" si="31"/>
        <v>1</v>
      </c>
      <c r="R39" s="39">
        <f t="shared" si="31"/>
        <v>5940</v>
      </c>
      <c r="S39" s="35">
        <v>0</v>
      </c>
      <c r="T39" s="39">
        <f t="shared" si="31"/>
        <v>200</v>
      </c>
      <c r="U39" s="39">
        <f t="shared" si="31"/>
        <v>90</v>
      </c>
      <c r="V39" s="39">
        <v>20</v>
      </c>
      <c r="W39" s="39">
        <v>500</v>
      </c>
      <c r="X39" s="42">
        <v>0</v>
      </c>
      <c r="Y39" s="42">
        <v>0</v>
      </c>
    </row>
    <row r="40" spans="1:25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2">L43*2</f>
        <v>20000000</v>
      </c>
      <c r="M40" s="39">
        <f>M43*1.9</f>
        <v>480.9375</v>
      </c>
      <c r="N40" s="39">
        <f t="shared" ref="N40:N42" si="33">N43*2</f>
        <v>32000000</v>
      </c>
      <c r="O40" s="39">
        <f t="shared" ref="O40:U40" si="34">O14</f>
        <v>10000</v>
      </c>
      <c r="P40" s="39">
        <f t="shared" si="34"/>
        <v>400</v>
      </c>
      <c r="Q40" s="40">
        <f t="shared" si="34"/>
        <v>0.9</v>
      </c>
      <c r="R40" s="39">
        <f t="shared" si="34"/>
        <v>10810.800000000001</v>
      </c>
      <c r="S40" s="35">
        <v>0</v>
      </c>
      <c r="T40" s="39">
        <f t="shared" si="34"/>
        <v>200</v>
      </c>
      <c r="U40" s="39">
        <f t="shared" si="34"/>
        <v>150</v>
      </c>
      <c r="V40" s="39">
        <v>20</v>
      </c>
      <c r="W40" s="39">
        <v>1000</v>
      </c>
      <c r="X40" s="42">
        <v>0</v>
      </c>
      <c r="Y40" s="42">
        <v>0</v>
      </c>
    </row>
    <row r="41" spans="1:25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2"/>
        <v>80000000</v>
      </c>
      <c r="M41" s="39">
        <f>M44*2</f>
        <v>1827.5625</v>
      </c>
      <c r="N41" s="39">
        <f t="shared" si="33"/>
        <v>128000000</v>
      </c>
      <c r="O41" s="39">
        <f t="shared" ref="O41:U41" si="35">O16</f>
        <v>10000</v>
      </c>
      <c r="P41" s="39">
        <f t="shared" si="35"/>
        <v>410</v>
      </c>
      <c r="Q41" s="40">
        <f t="shared" si="35"/>
        <v>0.9</v>
      </c>
      <c r="R41" s="39">
        <f t="shared" si="35"/>
        <v>16864.848000000002</v>
      </c>
      <c r="S41" s="35">
        <v>0</v>
      </c>
      <c r="T41" s="39">
        <f t="shared" si="35"/>
        <v>200</v>
      </c>
      <c r="U41" s="39">
        <f t="shared" si="35"/>
        <v>150</v>
      </c>
      <c r="V41" s="39">
        <v>20</v>
      </c>
      <c r="W41" s="39">
        <v>1500</v>
      </c>
      <c r="X41" s="42">
        <v>0</v>
      </c>
      <c r="Y41" s="42">
        <v>0</v>
      </c>
    </row>
    <row r="42" spans="1:25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34"/>
      <c r="L42" s="39">
        <f t="shared" si="32"/>
        <v>320000000</v>
      </c>
      <c r="M42" s="39">
        <f>M45*2</f>
        <v>7310.25</v>
      </c>
      <c r="N42" s="39">
        <f t="shared" si="33"/>
        <v>512000000</v>
      </c>
      <c r="O42" s="39">
        <f t="shared" ref="O42:U42" si="36">O18</f>
        <v>10000</v>
      </c>
      <c r="P42" s="39">
        <f t="shared" si="36"/>
        <v>420</v>
      </c>
      <c r="Q42" s="40">
        <f t="shared" si="36"/>
        <v>0.9</v>
      </c>
      <c r="R42" s="39">
        <f t="shared" si="36"/>
        <v>24285.381119999998</v>
      </c>
      <c r="S42" s="35">
        <v>0</v>
      </c>
      <c r="T42" s="39">
        <f t="shared" si="36"/>
        <v>200</v>
      </c>
      <c r="U42" s="39">
        <f t="shared" si="36"/>
        <v>150</v>
      </c>
      <c r="V42" s="39">
        <v>20</v>
      </c>
      <c r="W42" s="39">
        <v>2500</v>
      </c>
      <c r="X42" s="42">
        <v>0</v>
      </c>
      <c r="Y42" s="42">
        <v>0</v>
      </c>
    </row>
    <row r="43" spans="1:25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 t="shared" ref="L43:N45" si="37">L39*2</f>
        <v>10000000</v>
      </c>
      <c r="M43" s="39">
        <f>M39*2</f>
        <v>253.125</v>
      </c>
      <c r="N43" s="39">
        <f t="shared" si="37"/>
        <v>16000000</v>
      </c>
      <c r="O43" s="39">
        <f t="shared" ref="O43:T43" si="38">O8</f>
        <v>1000</v>
      </c>
      <c r="P43" s="39">
        <f t="shared" si="38"/>
        <v>370</v>
      </c>
      <c r="Q43" s="40">
        <f t="shared" si="38"/>
        <v>1</v>
      </c>
      <c r="R43" s="39">
        <f t="shared" si="38"/>
        <v>800</v>
      </c>
      <c r="S43" s="35">
        <v>0</v>
      </c>
      <c r="T43" s="39">
        <f t="shared" si="38"/>
        <v>200</v>
      </c>
      <c r="U43" s="39">
        <v>100</v>
      </c>
      <c r="V43" s="39">
        <v>20</v>
      </c>
      <c r="W43" s="39">
        <v>750</v>
      </c>
      <c r="X43" s="39">
        <f>X13</f>
        <v>0</v>
      </c>
      <c r="Y43" s="39">
        <v>0</v>
      </c>
    </row>
    <row r="44" spans="1:25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 t="shared" si="37"/>
        <v>40000000</v>
      </c>
      <c r="M44" s="39">
        <f>M40*1.9</f>
        <v>913.78125</v>
      </c>
      <c r="N44" s="39">
        <f t="shared" si="37"/>
        <v>64000000</v>
      </c>
      <c r="O44" s="39">
        <f t="shared" ref="O44:U44" si="39">O14</f>
        <v>10000</v>
      </c>
      <c r="P44" s="39">
        <f t="shared" si="39"/>
        <v>400</v>
      </c>
      <c r="Q44" s="40">
        <f t="shared" si="39"/>
        <v>0.9</v>
      </c>
      <c r="R44" s="39">
        <f t="shared" si="39"/>
        <v>10810.800000000001</v>
      </c>
      <c r="S44" s="35">
        <v>0</v>
      </c>
      <c r="T44" s="39">
        <f t="shared" si="39"/>
        <v>200</v>
      </c>
      <c r="U44" s="39">
        <f t="shared" si="39"/>
        <v>150</v>
      </c>
      <c r="V44" s="39">
        <v>20</v>
      </c>
      <c r="W44" s="39">
        <v>1250</v>
      </c>
      <c r="X44" s="39">
        <v>0</v>
      </c>
      <c r="Y44" s="39">
        <v>0</v>
      </c>
    </row>
    <row r="45" spans="1:25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 t="shared" si="37"/>
        <v>160000000</v>
      </c>
      <c r="M45" s="39">
        <f>M41*2</f>
        <v>3655.125</v>
      </c>
      <c r="N45" s="39">
        <f>N41*2</f>
        <v>256000000</v>
      </c>
      <c r="O45" s="39">
        <f t="shared" ref="O45:U45" si="40">O23</f>
        <v>10000</v>
      </c>
      <c r="P45" s="39">
        <f t="shared" si="40"/>
        <v>445</v>
      </c>
      <c r="Q45" s="40">
        <f t="shared" si="40"/>
        <v>0.9</v>
      </c>
      <c r="R45" s="39">
        <f t="shared" si="40"/>
        <v>76376.552207155182</v>
      </c>
      <c r="S45" s="35">
        <v>0</v>
      </c>
      <c r="T45" s="39">
        <f t="shared" si="40"/>
        <v>200</v>
      </c>
      <c r="U45" s="39">
        <f t="shared" si="40"/>
        <v>200</v>
      </c>
      <c r="V45" s="39">
        <v>20</v>
      </c>
      <c r="W45" s="39">
        <v>2000</v>
      </c>
      <c r="X45" s="39">
        <v>0</v>
      </c>
      <c r="Y45" s="39">
        <v>0</v>
      </c>
    </row>
    <row r="46" spans="1:25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50</v>
      </c>
      <c r="N46" s="39">
        <v>7500000</v>
      </c>
      <c r="O46" s="39">
        <f t="shared" ref="O46:O70" si="41">O4*3</f>
        <v>300</v>
      </c>
      <c r="P46" s="35">
        <f t="shared" ref="P46:P70" si="42">P4</f>
        <v>350</v>
      </c>
      <c r="Q46" s="36">
        <v>0.75</v>
      </c>
      <c r="R46" s="35">
        <f t="shared" ref="R46:U70" si="43">R4</f>
        <v>11.000000000000002</v>
      </c>
      <c r="S46" s="35">
        <v>0</v>
      </c>
      <c r="T46" s="35">
        <f t="shared" si="43"/>
        <v>200</v>
      </c>
      <c r="U46" s="35">
        <v>50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>M46*1.25</f>
        <v>62.5</v>
      </c>
      <c r="N47" s="39">
        <f t="shared" ref="N47" si="44">N46*1.25</f>
        <v>9375000</v>
      </c>
      <c r="O47" s="39">
        <f t="shared" si="41"/>
        <v>300</v>
      </c>
      <c r="P47" s="35">
        <f t="shared" si="42"/>
        <v>355</v>
      </c>
      <c r="Q47" s="36">
        <v>0.75</v>
      </c>
      <c r="R47" s="35">
        <f t="shared" si="43"/>
        <v>100</v>
      </c>
      <c r="S47" s="35">
        <v>0</v>
      </c>
      <c r="T47" s="35">
        <f t="shared" si="43"/>
        <v>200</v>
      </c>
      <c r="U47" s="35">
        <v>75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120</v>
      </c>
      <c r="N48" s="39">
        <v>18310546.875</v>
      </c>
      <c r="O48" s="39">
        <f t="shared" si="41"/>
        <v>300</v>
      </c>
      <c r="P48" s="35">
        <f t="shared" si="42"/>
        <v>360</v>
      </c>
      <c r="Q48" s="36">
        <v>0.75</v>
      </c>
      <c r="R48" s="35">
        <f t="shared" si="43"/>
        <v>200</v>
      </c>
      <c r="S48" s="35">
        <v>0</v>
      </c>
      <c r="T48" s="35">
        <f t="shared" si="43"/>
        <v>200</v>
      </c>
      <c r="U48" s="35">
        <v>100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5">M48*1.25</f>
        <v>150</v>
      </c>
      <c r="N49" s="39">
        <f t="shared" si="45"/>
        <v>22888183.59375</v>
      </c>
      <c r="O49" s="39">
        <f t="shared" si="41"/>
        <v>3000</v>
      </c>
      <c r="P49" s="35">
        <f t="shared" si="42"/>
        <v>365</v>
      </c>
      <c r="Q49" s="36">
        <v>0.75</v>
      </c>
      <c r="R49" s="35">
        <f t="shared" si="43"/>
        <v>400</v>
      </c>
      <c r="S49" s="35">
        <v>0</v>
      </c>
      <c r="T49" s="35">
        <f t="shared" si="43"/>
        <v>200</v>
      </c>
      <c r="U49" s="35">
        <v>125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250</v>
      </c>
      <c r="N50" s="39">
        <v>50000000</v>
      </c>
      <c r="O50" s="39">
        <f t="shared" si="41"/>
        <v>3000</v>
      </c>
      <c r="P50" s="35">
        <f t="shared" si="42"/>
        <v>370</v>
      </c>
      <c r="Q50" s="36">
        <v>0.75</v>
      </c>
      <c r="R50" s="35">
        <f t="shared" si="43"/>
        <v>800</v>
      </c>
      <c r="S50" s="35">
        <v>0</v>
      </c>
      <c r="T50" s="35">
        <f t="shared" si="43"/>
        <v>200</v>
      </c>
      <c r="U50" s="35">
        <v>150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6">M50*1.25</f>
        <v>312.5</v>
      </c>
      <c r="N51" s="39">
        <f t="shared" si="46"/>
        <v>62500000</v>
      </c>
      <c r="O51" s="39">
        <f t="shared" si="41"/>
        <v>30000</v>
      </c>
      <c r="P51" s="35">
        <f t="shared" si="42"/>
        <v>375</v>
      </c>
      <c r="Q51" s="36">
        <v>0.75</v>
      </c>
      <c r="R51" s="35">
        <f t="shared" si="43"/>
        <v>1760</v>
      </c>
      <c r="S51" s="35">
        <v>0</v>
      </c>
      <c r="T51" s="35">
        <f t="shared" si="43"/>
        <v>200</v>
      </c>
      <c r="U51" s="35">
        <v>175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550</v>
      </c>
      <c r="N52" s="39">
        <f>N51*2</f>
        <v>125000000</v>
      </c>
      <c r="O52" s="39">
        <f t="shared" si="41"/>
        <v>30000</v>
      </c>
      <c r="P52" s="35">
        <f t="shared" si="42"/>
        <v>380</v>
      </c>
      <c r="Q52" s="36">
        <v>0.75</v>
      </c>
      <c r="R52" s="35">
        <f t="shared" si="43"/>
        <v>2640</v>
      </c>
      <c r="S52" s="35">
        <v>0</v>
      </c>
      <c r="T52" s="35">
        <f t="shared" si="43"/>
        <v>200</v>
      </c>
      <c r="U52" s="35">
        <v>200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f>M52*1.25</f>
        <v>687.5</v>
      </c>
      <c r="N53" s="39">
        <f>N52*1.25</f>
        <v>156250000</v>
      </c>
      <c r="O53" s="39">
        <f t="shared" si="41"/>
        <v>30000</v>
      </c>
      <c r="P53" s="35">
        <f t="shared" si="42"/>
        <v>385</v>
      </c>
      <c r="Q53" s="36">
        <v>0.75</v>
      </c>
      <c r="R53" s="35">
        <f t="shared" si="43"/>
        <v>3960</v>
      </c>
      <c r="S53" s="35">
        <v>0</v>
      </c>
      <c r="T53" s="35">
        <f t="shared" si="43"/>
        <v>200</v>
      </c>
      <c r="U53" s="35">
        <v>225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f t="shared" ref="M54:N54" si="47">M53*1.7</f>
        <v>1168.75</v>
      </c>
      <c r="N54" s="39">
        <f t="shared" si="47"/>
        <v>265625000</v>
      </c>
      <c r="O54" s="39">
        <f t="shared" si="41"/>
        <v>30000</v>
      </c>
      <c r="P54" s="35">
        <f t="shared" si="42"/>
        <v>390</v>
      </c>
      <c r="Q54" s="36">
        <v>0.75</v>
      </c>
      <c r="R54" s="35">
        <f t="shared" si="43"/>
        <v>5940</v>
      </c>
      <c r="S54" s="35">
        <v>0</v>
      </c>
      <c r="T54" s="35">
        <f t="shared" si="43"/>
        <v>200</v>
      </c>
      <c r="U54" s="35">
        <v>250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f t="shared" ref="M55:N55" si="48">M54*1.25</f>
        <v>1460.9375</v>
      </c>
      <c r="N55" s="39">
        <f t="shared" si="48"/>
        <v>332031250</v>
      </c>
      <c r="O55" s="39">
        <f t="shared" si="41"/>
        <v>30000</v>
      </c>
      <c r="P55" s="35">
        <f t="shared" si="42"/>
        <v>395</v>
      </c>
      <c r="Q55" s="36">
        <v>0.75</v>
      </c>
      <c r="R55" s="35">
        <f t="shared" si="43"/>
        <v>8316</v>
      </c>
      <c r="S55" s="35">
        <v>0</v>
      </c>
      <c r="T55" s="35">
        <f t="shared" si="43"/>
        <v>200</v>
      </c>
      <c r="U55" s="35">
        <v>275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L55*1.6</f>
        <v>265625000</v>
      </c>
      <c r="M56" s="39">
        <f t="shared" ref="M56:N56" si="49">M55*1.6</f>
        <v>2337.5</v>
      </c>
      <c r="N56" s="39">
        <f t="shared" si="49"/>
        <v>531250000</v>
      </c>
      <c r="O56" s="39">
        <f t="shared" si="41"/>
        <v>30000</v>
      </c>
      <c r="P56" s="35">
        <f t="shared" si="42"/>
        <v>400</v>
      </c>
      <c r="Q56" s="36">
        <v>0.75</v>
      </c>
      <c r="R56" s="35">
        <f t="shared" si="43"/>
        <v>10810.800000000001</v>
      </c>
      <c r="S56" s="35">
        <v>0</v>
      </c>
      <c r="T56" s="35">
        <f t="shared" si="43"/>
        <v>200</v>
      </c>
      <c r="U56" s="35">
        <v>300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292187500</v>
      </c>
      <c r="M57" s="39">
        <f t="shared" ref="M57:N57" si="50">M56*1.1</f>
        <v>2571.25</v>
      </c>
      <c r="N57" s="39">
        <f t="shared" si="50"/>
        <v>584375000</v>
      </c>
      <c r="O57" s="39">
        <f t="shared" si="41"/>
        <v>30000</v>
      </c>
      <c r="P57" s="35">
        <f t="shared" si="42"/>
        <v>405</v>
      </c>
      <c r="Q57" s="36">
        <v>0.75</v>
      </c>
      <c r="R57" s="35">
        <f t="shared" si="43"/>
        <v>14054.04</v>
      </c>
      <c r="S57" s="35">
        <v>0</v>
      </c>
      <c r="T57" s="35">
        <f t="shared" si="43"/>
        <v>200</v>
      </c>
      <c r="U57" s="35">
        <v>325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L57*1.6</f>
        <v>467500000</v>
      </c>
      <c r="M58" s="39">
        <f t="shared" ref="M58:N58" si="51">M57*1.6</f>
        <v>4114</v>
      </c>
      <c r="N58" s="39">
        <f t="shared" si="51"/>
        <v>935000000</v>
      </c>
      <c r="O58" s="39">
        <f t="shared" si="41"/>
        <v>30000</v>
      </c>
      <c r="P58" s="35">
        <f t="shared" si="42"/>
        <v>410</v>
      </c>
      <c r="Q58" s="36">
        <v>0.75</v>
      </c>
      <c r="R58" s="35">
        <f t="shared" si="43"/>
        <v>16864.848000000002</v>
      </c>
      <c r="S58" s="35">
        <v>0</v>
      </c>
      <c r="T58" s="35">
        <f t="shared" si="43"/>
        <v>200</v>
      </c>
      <c r="U58" s="35">
        <v>350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514250000.00000006</v>
      </c>
      <c r="M59" s="39">
        <f t="shared" ref="M59:N59" si="52">M58*1.1</f>
        <v>4525.4000000000005</v>
      </c>
      <c r="N59" s="39">
        <f t="shared" si="52"/>
        <v>1028500000.0000001</v>
      </c>
      <c r="O59" s="39">
        <f t="shared" si="41"/>
        <v>30000</v>
      </c>
      <c r="P59" s="35">
        <f t="shared" si="42"/>
        <v>415</v>
      </c>
      <c r="Q59" s="36">
        <v>0.75</v>
      </c>
      <c r="R59" s="35">
        <f t="shared" si="43"/>
        <v>20237.817600000002</v>
      </c>
      <c r="S59" s="35">
        <v>0</v>
      </c>
      <c r="T59" s="35">
        <f t="shared" si="43"/>
        <v>200</v>
      </c>
      <c r="U59" s="35">
        <v>375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771375000.00000012</v>
      </c>
      <c r="M60" s="39">
        <f t="shared" ref="M60:N60" si="53">M59*1.5</f>
        <v>6788.1</v>
      </c>
      <c r="N60" s="39">
        <f t="shared" si="53"/>
        <v>1542750000.0000002</v>
      </c>
      <c r="O60" s="39">
        <f t="shared" si="41"/>
        <v>30000</v>
      </c>
      <c r="P60" s="35">
        <f t="shared" si="42"/>
        <v>420</v>
      </c>
      <c r="Q60" s="36">
        <v>0.75</v>
      </c>
      <c r="R60" s="35">
        <f t="shared" si="43"/>
        <v>24285.381119999998</v>
      </c>
      <c r="S60" s="35">
        <v>0</v>
      </c>
      <c r="T60" s="35">
        <f t="shared" si="43"/>
        <v>200</v>
      </c>
      <c r="U60" s="35">
        <v>400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848512500.00000024</v>
      </c>
      <c r="M61" s="39">
        <f t="shared" ref="M61:N61" si="54">M60*1.1</f>
        <v>7466.9100000000008</v>
      </c>
      <c r="N61" s="39">
        <f t="shared" si="54"/>
        <v>1697025000.0000005</v>
      </c>
      <c r="O61" s="39">
        <f t="shared" si="41"/>
        <v>30000</v>
      </c>
      <c r="P61" s="35">
        <f t="shared" si="42"/>
        <v>425</v>
      </c>
      <c r="Q61" s="36">
        <v>0.75</v>
      </c>
      <c r="R61" s="35">
        <f t="shared" si="43"/>
        <v>33999.533567999999</v>
      </c>
      <c r="S61" s="35">
        <v>0</v>
      </c>
      <c r="T61" s="35">
        <f t="shared" si="43"/>
        <v>200</v>
      </c>
      <c r="U61" s="35">
        <v>425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1272768750.0000005</v>
      </c>
      <c r="M62" s="39">
        <f t="shared" ref="M62:N62" si="55">M61*1.5</f>
        <v>11200.365000000002</v>
      </c>
      <c r="N62" s="39">
        <f t="shared" si="55"/>
        <v>2545537500.000001</v>
      </c>
      <c r="O62" s="39">
        <f t="shared" si="41"/>
        <v>30000</v>
      </c>
      <c r="P62" s="35">
        <f t="shared" si="42"/>
        <v>430</v>
      </c>
      <c r="Q62" s="36">
        <v>0.75</v>
      </c>
      <c r="R62" s="35">
        <f t="shared" si="43"/>
        <v>44199.393638399997</v>
      </c>
      <c r="S62" s="35">
        <v>0</v>
      </c>
      <c r="T62" s="35">
        <f t="shared" si="43"/>
        <v>200</v>
      </c>
      <c r="U62" s="35">
        <v>450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1400045625.0000007</v>
      </c>
      <c r="M63" s="39">
        <f t="shared" ref="M63:N63" si="56">M62*1.1</f>
        <v>12320.401500000004</v>
      </c>
      <c r="N63" s="39">
        <f t="shared" si="56"/>
        <v>2800091250.0000014</v>
      </c>
      <c r="O63" s="39">
        <f t="shared" si="41"/>
        <v>30000</v>
      </c>
      <c r="P63" s="35">
        <f t="shared" si="42"/>
        <v>435</v>
      </c>
      <c r="Q63" s="36">
        <v>0.75</v>
      </c>
      <c r="R63" s="35">
        <f t="shared" si="43"/>
        <v>53039.272366079997</v>
      </c>
      <c r="S63" s="35">
        <v>0</v>
      </c>
      <c r="T63" s="35">
        <f t="shared" si="43"/>
        <v>200</v>
      </c>
      <c r="U63" s="35">
        <v>475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2100068437.500001</v>
      </c>
      <c r="M64" s="39">
        <f t="shared" ref="M64:N64" si="57">M63*1.5</f>
        <v>18480.602250000004</v>
      </c>
      <c r="N64" s="39">
        <f t="shared" si="57"/>
        <v>4200136875.0000019</v>
      </c>
      <c r="O64" s="39">
        <f t="shared" si="41"/>
        <v>30000</v>
      </c>
      <c r="P64" s="35">
        <f t="shared" si="42"/>
        <v>440</v>
      </c>
      <c r="Q64" s="36">
        <v>0.75</v>
      </c>
      <c r="R64" s="35">
        <f t="shared" si="43"/>
        <v>63647.126839295983</v>
      </c>
      <c r="S64" s="35">
        <v>0</v>
      </c>
      <c r="T64" s="35">
        <f t="shared" si="43"/>
        <v>200</v>
      </c>
      <c r="U64" s="35">
        <v>500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2310075281.2500014</v>
      </c>
      <c r="M65" s="39">
        <f>M64*1.1</f>
        <v>20328.662475000005</v>
      </c>
      <c r="N65" s="39">
        <f t="shared" ref="N65" si="58">N64*1.1</f>
        <v>4620150562.5000029</v>
      </c>
      <c r="O65" s="39">
        <f t="shared" si="41"/>
        <v>30000</v>
      </c>
      <c r="P65" s="35">
        <f t="shared" si="42"/>
        <v>445</v>
      </c>
      <c r="Q65" s="36">
        <v>0.75</v>
      </c>
      <c r="R65" s="35">
        <f t="shared" si="43"/>
        <v>76376.552207155182</v>
      </c>
      <c r="S65" s="35">
        <v>0</v>
      </c>
      <c r="T65" s="35">
        <f t="shared" si="43"/>
        <v>200</v>
      </c>
      <c r="U65" s="35">
        <v>525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3207815192.7005177</v>
      </c>
      <c r="O66" s="39">
        <f t="shared" si="41"/>
        <v>30000</v>
      </c>
      <c r="P66" s="35">
        <f t="shared" si="42"/>
        <v>450</v>
      </c>
      <c r="Q66" s="36">
        <v>0.75</v>
      </c>
      <c r="R66" s="35">
        <f t="shared" si="43"/>
        <v>106927.17309001726</v>
      </c>
      <c r="S66" s="35">
        <v>0</v>
      </c>
      <c r="T66" s="35">
        <f t="shared" si="43"/>
        <v>200</v>
      </c>
      <c r="U66" s="35">
        <v>500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4170159750.5106726</v>
      </c>
      <c r="O67" s="39">
        <f t="shared" si="41"/>
        <v>30000</v>
      </c>
      <c r="P67" s="35">
        <f t="shared" si="42"/>
        <v>455</v>
      </c>
      <c r="Q67" s="36">
        <v>0.75</v>
      </c>
      <c r="R67" s="35">
        <f t="shared" si="43"/>
        <v>139005.32501702243</v>
      </c>
      <c r="S67" s="35">
        <v>0</v>
      </c>
      <c r="T67" s="35">
        <f t="shared" si="43"/>
        <v>200</v>
      </c>
      <c r="U67" s="35">
        <f t="shared" si="43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5004191700.6128063</v>
      </c>
      <c r="O68" s="39">
        <f t="shared" si="41"/>
        <v>30000</v>
      </c>
      <c r="P68" s="35">
        <f t="shared" si="42"/>
        <v>460</v>
      </c>
      <c r="Q68" s="36">
        <v>0.75</v>
      </c>
      <c r="R68" s="35">
        <f t="shared" si="43"/>
        <v>166806.39002042692</v>
      </c>
      <c r="S68" s="35">
        <v>0</v>
      </c>
      <c r="T68" s="35">
        <f t="shared" si="43"/>
        <v>200</v>
      </c>
      <c r="U68" s="35">
        <f t="shared" si="43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6005030040.7353678</v>
      </c>
      <c r="O69" s="39">
        <f t="shared" si="41"/>
        <v>30000</v>
      </c>
      <c r="P69" s="35">
        <f t="shared" si="42"/>
        <v>465</v>
      </c>
      <c r="Q69" s="36">
        <v>0.75</v>
      </c>
      <c r="R69" s="35">
        <f t="shared" si="43"/>
        <v>200167.66802451227</v>
      </c>
      <c r="S69" s="35">
        <v>0</v>
      </c>
      <c r="T69" s="35">
        <f t="shared" si="43"/>
        <v>200</v>
      </c>
      <c r="U69" s="35">
        <f t="shared" si="43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7206036048.8824406</v>
      </c>
      <c r="O70" s="39">
        <f t="shared" si="41"/>
        <v>30000</v>
      </c>
      <c r="P70" s="35">
        <f t="shared" si="42"/>
        <v>470</v>
      </c>
      <c r="Q70" s="36">
        <v>0.75</v>
      </c>
      <c r="R70" s="35">
        <f t="shared" si="43"/>
        <v>240201.20162941472</v>
      </c>
      <c r="S70" s="35">
        <v>0</v>
      </c>
      <c r="T70" s="35">
        <f t="shared" si="43"/>
        <v>200</v>
      </c>
      <c r="U70" s="35">
        <f t="shared" si="43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5">
        <v>0</v>
      </c>
      <c r="T71" s="39">
        <f>T48</f>
        <v>200</v>
      </c>
      <c r="U71" s="39">
        <f>U48</f>
        <v>100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9">L54*0.9</f>
        <v>119531250</v>
      </c>
      <c r="M72" s="39">
        <f>M54*0.9</f>
        <v>1051.875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1760</v>
      </c>
      <c r="S72" s="35">
        <v>0</v>
      </c>
      <c r="T72" s="39">
        <f>T51</f>
        <v>200</v>
      </c>
      <c r="U72" s="39">
        <v>200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60">L61*0.9</f>
        <v>763661250.00000024</v>
      </c>
      <c r="M73" s="39">
        <f>M61*0.9</f>
        <v>6720.219000000001</v>
      </c>
      <c r="N73" s="39">
        <f>N61*0.9*2</f>
        <v>3054645000.000001</v>
      </c>
      <c r="O73" s="39">
        <f>O55</f>
        <v>30000</v>
      </c>
      <c r="P73" s="39">
        <f>P55</f>
        <v>395</v>
      </c>
      <c r="Q73" s="36">
        <v>0.75</v>
      </c>
      <c r="R73" s="39">
        <f>R55</f>
        <v>8316</v>
      </c>
      <c r="S73" s="35">
        <v>0</v>
      </c>
      <c r="T73" s="39">
        <f>T55</f>
        <v>200</v>
      </c>
      <c r="U73" s="39">
        <v>300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1">L65*0.9</f>
        <v>2079067753.1250014</v>
      </c>
      <c r="M74" s="39">
        <f>M65*0.9</f>
        <v>18295.796227500006</v>
      </c>
      <c r="N74" s="39">
        <f>N65*0.9*2</f>
        <v>8316271012.5000057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24285.381119999998</v>
      </c>
      <c r="S74" s="35">
        <v>0</v>
      </c>
      <c r="T74" s="39">
        <f>T60*1</f>
        <v>200</v>
      </c>
      <c r="U74" s="39">
        <v>500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5">
        <v>0</v>
      </c>
      <c r="T75" s="39">
        <f>T49*1</f>
        <v>200</v>
      </c>
      <c r="U75" s="39">
        <v>100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2">L55*1.1</f>
        <v>182617187.5</v>
      </c>
      <c r="M76" s="39">
        <f t="shared" si="62"/>
        <v>1607.0312500000002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3960</v>
      </c>
      <c r="S76" s="35">
        <v>0</v>
      </c>
      <c r="T76" s="39">
        <f>T53*1</f>
        <v>200</v>
      </c>
      <c r="U76" s="39">
        <v>200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3">L63*0.9</f>
        <v>1260041062.5000007</v>
      </c>
      <c r="M77" s="39">
        <f t="shared" si="63"/>
        <v>11088.361350000003</v>
      </c>
      <c r="N77" s="39">
        <f>N63*0.9</f>
        <v>2520082125.0000014</v>
      </c>
      <c r="O77" s="39">
        <f>O58</f>
        <v>30000</v>
      </c>
      <c r="P77" s="39">
        <f>P58</f>
        <v>410</v>
      </c>
      <c r="Q77" s="36">
        <v>0.75</v>
      </c>
      <c r="R77" s="39">
        <f>R58</f>
        <v>16864.848000000002</v>
      </c>
      <c r="S77" s="35">
        <v>0</v>
      </c>
      <c r="T77" s="39">
        <f>T58</f>
        <v>200</v>
      </c>
      <c r="U77" s="39">
        <v>300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4">L65*1.2</f>
        <v>2772090337.5000014</v>
      </c>
      <c r="M78" s="39">
        <f t="shared" si="64"/>
        <v>24394.394970000005</v>
      </c>
      <c r="N78" s="39">
        <f>N65*1.2</f>
        <v>5544180675.0000029</v>
      </c>
      <c r="O78" s="39">
        <f>O64</f>
        <v>30000</v>
      </c>
      <c r="P78" s="39">
        <f>P64</f>
        <v>440</v>
      </c>
      <c r="Q78" s="36">
        <v>0.75</v>
      </c>
      <c r="R78" s="39">
        <f>R64</f>
        <v>63647.126839295983</v>
      </c>
      <c r="S78" s="35">
        <v>0</v>
      </c>
      <c r="T78" s="39">
        <f>T64</f>
        <v>200</v>
      </c>
      <c r="U78" s="39">
        <f>U64</f>
        <v>500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5">M53*1.1</f>
        <v>756.25000000000011</v>
      </c>
      <c r="N79" s="39">
        <f t="shared" si="65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5">
        <v>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6">M55*1.1</f>
        <v>1607.0312500000002</v>
      </c>
      <c r="N80" s="39">
        <f t="shared" si="66"/>
        <v>365234375</v>
      </c>
      <c r="O80" s="39">
        <f t="shared" ref="O80:P88" si="67">O52*1</f>
        <v>30000</v>
      </c>
      <c r="P80" s="39">
        <f t="shared" si="67"/>
        <v>380</v>
      </c>
      <c r="Q80" s="36">
        <v>0.75</v>
      </c>
      <c r="R80" s="39">
        <f t="shared" ref="R80:T88" si="68">R52*1</f>
        <v>2640</v>
      </c>
      <c r="S80" s="35">
        <v>0</v>
      </c>
      <c r="T80" s="39">
        <f t="shared" si="68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321406250</v>
      </c>
      <c r="M81" s="39">
        <f t="shared" ref="M81:N81" si="69">M57*1.1</f>
        <v>2828.3750000000005</v>
      </c>
      <c r="N81" s="39">
        <f t="shared" si="69"/>
        <v>642812500</v>
      </c>
      <c r="O81" s="39">
        <f t="shared" si="67"/>
        <v>30000</v>
      </c>
      <c r="P81" s="39">
        <f t="shared" si="67"/>
        <v>385</v>
      </c>
      <c r="Q81" s="36">
        <v>0.75</v>
      </c>
      <c r="R81" s="39">
        <f t="shared" si="68"/>
        <v>3960</v>
      </c>
      <c r="S81" s="35">
        <v>0</v>
      </c>
      <c r="T81" s="39">
        <f t="shared" si="68"/>
        <v>200</v>
      </c>
      <c r="U81" s="39">
        <v>200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565675000.00000012</v>
      </c>
      <c r="M82" s="39">
        <f t="shared" ref="M82:N82" si="70">M59*1.1</f>
        <v>4977.9400000000014</v>
      </c>
      <c r="N82" s="39">
        <f t="shared" si="70"/>
        <v>1131350000.0000002</v>
      </c>
      <c r="O82" s="39">
        <f t="shared" si="67"/>
        <v>30000</v>
      </c>
      <c r="P82" s="39">
        <f t="shared" si="67"/>
        <v>390</v>
      </c>
      <c r="Q82" s="36">
        <v>0.75</v>
      </c>
      <c r="R82" s="39">
        <f t="shared" si="68"/>
        <v>5940</v>
      </c>
      <c r="S82" s="35">
        <v>0</v>
      </c>
      <c r="T82" s="39">
        <f t="shared" si="68"/>
        <v>200</v>
      </c>
      <c r="U82" s="39">
        <v>250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933363750.00000036</v>
      </c>
      <c r="M83" s="39">
        <f t="shared" ref="M83:N83" si="71">M61*1.1</f>
        <v>8213.6010000000024</v>
      </c>
      <c r="N83" s="39">
        <f t="shared" si="71"/>
        <v>1866727500.0000007</v>
      </c>
      <c r="O83" s="39">
        <f t="shared" si="67"/>
        <v>30000</v>
      </c>
      <c r="P83" s="39">
        <f t="shared" si="67"/>
        <v>395</v>
      </c>
      <c r="Q83" s="36">
        <v>0.75</v>
      </c>
      <c r="R83" s="39">
        <f t="shared" si="68"/>
        <v>8316</v>
      </c>
      <c r="S83" s="35">
        <v>0</v>
      </c>
      <c r="T83" s="39">
        <f t="shared" si="68"/>
        <v>200</v>
      </c>
      <c r="U83" s="39">
        <v>300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1540050187.500001</v>
      </c>
      <c r="M84" s="39">
        <f t="shared" ref="M84:N84" si="72">M63*1.1</f>
        <v>13552.441650000004</v>
      </c>
      <c r="N84" s="39">
        <f t="shared" si="72"/>
        <v>3080100375.0000019</v>
      </c>
      <c r="O84" s="39">
        <f t="shared" si="67"/>
        <v>30000</v>
      </c>
      <c r="P84" s="39">
        <f t="shared" si="67"/>
        <v>400</v>
      </c>
      <c r="Q84" s="36">
        <v>0.75</v>
      </c>
      <c r="R84" s="39">
        <f t="shared" si="68"/>
        <v>10810.800000000001</v>
      </c>
      <c r="S84" s="35">
        <v>0</v>
      </c>
      <c r="T84" s="39">
        <f t="shared" si="68"/>
        <v>200</v>
      </c>
      <c r="U84" s="39">
        <v>350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2425579045.3125014</v>
      </c>
      <c r="M85" s="39">
        <f t="shared" ref="M85:N85" si="73">M65*1.05</f>
        <v>21345.095598750006</v>
      </c>
      <c r="N85" s="39">
        <f t="shared" si="73"/>
        <v>4851158090.6250029</v>
      </c>
      <c r="O85" s="39">
        <f t="shared" si="67"/>
        <v>30000</v>
      </c>
      <c r="P85" s="39">
        <f t="shared" si="67"/>
        <v>405</v>
      </c>
      <c r="Q85" s="36">
        <v>0.75</v>
      </c>
      <c r="R85" s="39">
        <f t="shared" si="68"/>
        <v>14054.04</v>
      </c>
      <c r="S85" s="35">
        <v>0</v>
      </c>
      <c r="T85" s="39">
        <f t="shared" si="68"/>
        <v>200</v>
      </c>
      <c r="U85" s="39">
        <v>400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2668136949.8437519</v>
      </c>
      <c r="M86" s="39">
        <f t="shared" ref="M86:N88" si="74">M85*1.1</f>
        <v>23479.605158625007</v>
      </c>
      <c r="N86" s="39">
        <f t="shared" si="74"/>
        <v>5336273899.6875038</v>
      </c>
      <c r="O86" s="39">
        <f t="shared" si="67"/>
        <v>30000</v>
      </c>
      <c r="P86" s="39">
        <f t="shared" si="67"/>
        <v>410</v>
      </c>
      <c r="Q86" s="36">
        <v>0.75</v>
      </c>
      <c r="R86" s="39">
        <f t="shared" si="68"/>
        <v>16864.848000000002</v>
      </c>
      <c r="S86" s="35">
        <v>0</v>
      </c>
      <c r="T86" s="39">
        <f t="shared" si="68"/>
        <v>200</v>
      </c>
      <c r="U86" s="39">
        <v>450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2934950644.8281274</v>
      </c>
      <c r="M87" s="39">
        <f t="shared" si="74"/>
        <v>25827.565674487509</v>
      </c>
      <c r="N87" s="39">
        <f t="shared" si="74"/>
        <v>5869901289.6562548</v>
      </c>
      <c r="O87" s="39">
        <f t="shared" si="67"/>
        <v>30000</v>
      </c>
      <c r="P87" s="39">
        <f t="shared" si="67"/>
        <v>415</v>
      </c>
      <c r="Q87" s="36">
        <v>0.75</v>
      </c>
      <c r="R87" s="39">
        <f t="shared" si="68"/>
        <v>20237.817600000002</v>
      </c>
      <c r="S87" s="35">
        <v>0</v>
      </c>
      <c r="T87" s="39">
        <f t="shared" si="68"/>
        <v>200</v>
      </c>
      <c r="U87" s="39">
        <v>500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3228445709.3109403</v>
      </c>
      <c r="M88" s="39">
        <f t="shared" si="74"/>
        <v>28410.322241936261</v>
      </c>
      <c r="N88" s="39">
        <f t="shared" si="74"/>
        <v>6456891418.6218805</v>
      </c>
      <c r="O88" s="39">
        <f t="shared" si="67"/>
        <v>30000</v>
      </c>
      <c r="P88" s="39">
        <f t="shared" si="67"/>
        <v>420</v>
      </c>
      <c r="Q88" s="36">
        <v>0.75</v>
      </c>
      <c r="R88" s="39">
        <f t="shared" si="68"/>
        <v>24285.381119999998</v>
      </c>
      <c r="S88" s="35">
        <v>0</v>
      </c>
      <c r="T88" s="39">
        <f t="shared" si="68"/>
        <v>200</v>
      </c>
      <c r="U88" s="39">
        <v>550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33747656.25</v>
      </c>
      <c r="M89" s="39">
        <f t="shared" ref="M89:N89" si="75">M93/10</f>
        <v>296.97937500000006</v>
      </c>
      <c r="N89" s="39">
        <f t="shared" si="75"/>
        <v>67495312.5</v>
      </c>
      <c r="O89" s="39">
        <f t="shared" ref="O89:T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8316</v>
      </c>
      <c r="S89" s="35">
        <v>0</v>
      </c>
      <c r="T89" s="39">
        <f t="shared" si="76"/>
        <v>200</v>
      </c>
      <c r="U89" s="39">
        <v>200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L94/8</f>
        <v>122503992.18750004</v>
      </c>
      <c r="M90" s="39">
        <f t="shared" ref="M90:N90" si="77">M94/8</f>
        <v>1078.0351312500004</v>
      </c>
      <c r="N90" s="39">
        <f t="shared" si="77"/>
        <v>245007984.37500009</v>
      </c>
      <c r="O90" s="39">
        <f t="shared" ref="O90:T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20237.817600000002</v>
      </c>
      <c r="S90" s="35">
        <v>0</v>
      </c>
      <c r="T90" s="39">
        <f t="shared" si="78"/>
        <v>200</v>
      </c>
      <c r="U90" s="39">
        <v>300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L95/6</f>
        <v>424476332.92968774</v>
      </c>
      <c r="M91" s="39">
        <f t="shared" ref="M91:N91" si="79">M95/6</f>
        <v>3735.3917297812513</v>
      </c>
      <c r="N91" s="39">
        <f t="shared" si="79"/>
        <v>848952665.85937548</v>
      </c>
      <c r="O91" s="39">
        <f t="shared" ref="O91:T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53039.272366079997</v>
      </c>
      <c r="S91" s="35">
        <v>0</v>
      </c>
      <c r="T91" s="39">
        <f t="shared" si="80"/>
        <v>200</v>
      </c>
      <c r="U91" s="39">
        <v>400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L96/4</f>
        <v>770424544.26738346</v>
      </c>
      <c r="M92" s="39">
        <f t="shared" ref="M92:N92" si="81">M96/4</f>
        <v>6779.7359895529717</v>
      </c>
      <c r="N92" s="39">
        <f t="shared" si="81"/>
        <v>1540849088.5347669</v>
      </c>
      <c r="O92" s="39">
        <f t="shared" ref="O92:T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200167.66802451227</v>
      </c>
      <c r="S92" s="35">
        <v>0</v>
      </c>
      <c r="T92" s="39">
        <f t="shared" si="82"/>
        <v>200</v>
      </c>
      <c r="U92" s="39">
        <v>500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337476562.5</v>
      </c>
      <c r="M93" s="39">
        <f t="shared" ref="M93:N93" si="83">M81*1.05</f>
        <v>2969.7937500000007</v>
      </c>
      <c r="N93" s="39">
        <f t="shared" si="83"/>
        <v>674953125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14054.04</v>
      </c>
      <c r="S93" s="35">
        <v>0</v>
      </c>
      <c r="T93" s="39">
        <f>T57*1</f>
        <v>200</v>
      </c>
      <c r="U93" s="39">
        <v>200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980031937.50000036</v>
      </c>
      <c r="M94" s="39">
        <f t="shared" ref="M94:N94" si="84">M83*1.05</f>
        <v>8624.2810500000032</v>
      </c>
      <c r="N94" s="39">
        <f t="shared" si="84"/>
        <v>1960063875.0000007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33999.533567999999</v>
      </c>
      <c r="S94" s="35">
        <v>0</v>
      </c>
      <c r="T94" s="39">
        <f>T61*1</f>
        <v>200</v>
      </c>
      <c r="U94" s="39">
        <v>300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2546857997.5781264</v>
      </c>
      <c r="M95" s="39">
        <f t="shared" ref="M95:N95" si="85">M85*1.05</f>
        <v>22412.350378687508</v>
      </c>
      <c r="N95" s="39">
        <f t="shared" si="85"/>
        <v>5093715995.1562529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76376.552207155182</v>
      </c>
      <c r="S95" s="35">
        <v>0</v>
      </c>
      <c r="T95" s="39">
        <f>T65*1</f>
        <v>200</v>
      </c>
      <c r="U95" s="39">
        <v>400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3081698177.0695338</v>
      </c>
      <c r="M96" s="39">
        <f>M87*1.05</f>
        <v>27118.943958211887</v>
      </c>
      <c r="N96" s="39">
        <f t="shared" ref="N96" si="86">N87*1.05</f>
        <v>6163396354.1390676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200167.66802451227</v>
      </c>
      <c r="S96" s="35">
        <v>0</v>
      </c>
      <c r="T96" s="39">
        <f>T69*1</f>
        <v>200</v>
      </c>
      <c r="U96" s="39">
        <v>500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T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11.000000000000002</v>
      </c>
      <c r="S97" s="35">
        <v>0</v>
      </c>
      <c r="T97" s="39">
        <f t="shared" si="87"/>
        <v>200</v>
      </c>
      <c r="U97" s="39">
        <v>50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11.000000000000002</v>
      </c>
      <c r="S98" s="35">
        <v>0</v>
      </c>
      <c r="T98" s="39">
        <v>400</v>
      </c>
      <c r="U98" s="39">
        <v>50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5">
        <v>0</v>
      </c>
      <c r="T99" s="39">
        <v>400</v>
      </c>
      <c r="U99" s="39">
        <v>50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420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L100">
        <f>L62*1.25</f>
        <v>1590960937.5000005</v>
      </c>
      <c r="M100">
        <f t="shared" ref="M100:N100" si="89">M62*1.25</f>
        <v>14000.456250000003</v>
      </c>
      <c r="N100">
        <f t="shared" si="89"/>
        <v>3181921875.000001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1760</v>
      </c>
      <c r="S100" s="35">
        <v>0</v>
      </c>
      <c r="T100" s="39">
        <f>T72*1</f>
        <v>200</v>
      </c>
      <c r="U100" s="39">
        <f>U72*1</f>
        <v>200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421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5">
        <v>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422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5">
        <v>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423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5">
        <v>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417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5">
        <v>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418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5">
        <v>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419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5">
        <v>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424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5">
        <v>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425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5">
        <v>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L109">
        <f>L88*1.05</f>
        <v>3389867994.7764874</v>
      </c>
      <c r="M109">
        <f t="shared" ref="M109:N109" si="90">M88*1.05</f>
        <v>29830.838354033076</v>
      </c>
      <c r="N109">
        <f t="shared" si="90"/>
        <v>6779735989.5529747</v>
      </c>
      <c r="O109" s="39">
        <v>30000</v>
      </c>
      <c r="P109" s="39">
        <v>350</v>
      </c>
      <c r="Q109" s="36">
        <v>0.75</v>
      </c>
      <c r="R109" s="39">
        <v>1600</v>
      </c>
      <c r="S109" s="35">
        <v>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5">
        <v>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L111">
        <f>L74*1.3</f>
        <v>2702788079.0625019</v>
      </c>
      <c r="M111">
        <f>M74*1.3</f>
        <v>23784.535095750009</v>
      </c>
      <c r="N111">
        <f>N74*1.3</f>
        <v>10811152316.250008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24285.381119999998</v>
      </c>
      <c r="S111" s="35">
        <v>0</v>
      </c>
      <c r="T111" s="53">
        <f t="shared" si="91"/>
        <v>200</v>
      </c>
      <c r="U111" s="53">
        <f t="shared" si="91"/>
        <v>500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L112">
        <f>L111*1.02</f>
        <v>2756843840.6437521</v>
      </c>
      <c r="M112">
        <f t="shared" ref="M112:N112" si="92">M111*1.02</f>
        <v>24260.225797665011</v>
      </c>
      <c r="N112">
        <f t="shared" si="92"/>
        <v>11027375362.575008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24285.381119999998</v>
      </c>
      <c r="S112" s="35">
        <v>0</v>
      </c>
      <c r="T112" s="53">
        <f t="shared" si="93"/>
        <v>200</v>
      </c>
      <c r="U112" s="53">
        <f t="shared" si="93"/>
        <v>500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L113">
        <f t="shared" ref="L113:L114" si="94">L112*1.02</f>
        <v>2811980717.4566274</v>
      </c>
      <c r="M113">
        <f t="shared" ref="M113:M114" si="95">M112*1.02</f>
        <v>24745.430313618312</v>
      </c>
      <c r="N113">
        <f t="shared" ref="N113:N114" si="96">N112*1.02</f>
        <v>11247922869.826509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24285.381119999998</v>
      </c>
      <c r="S113" s="35">
        <v>0</v>
      </c>
      <c r="T113" s="53">
        <f t="shared" si="93"/>
        <v>200</v>
      </c>
      <c r="U113" s="53">
        <f t="shared" si="93"/>
        <v>500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L114">
        <f t="shared" si="94"/>
        <v>2868220331.8057599</v>
      </c>
      <c r="M114">
        <f t="shared" si="95"/>
        <v>25240.338919890677</v>
      </c>
      <c r="N114">
        <f t="shared" si="96"/>
        <v>11472881327.22304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24285.381119999998</v>
      </c>
      <c r="S114" s="35">
        <v>0</v>
      </c>
      <c r="T114" s="53">
        <f t="shared" si="93"/>
        <v>200</v>
      </c>
      <c r="U114" s="53">
        <f t="shared" si="93"/>
        <v>500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M37:M38 M40:M41 M4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2019-07-12T07:21:55Z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