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E5C9501-5925-4DDA-B0FE-1F76319980E0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72" i="29"/>
  <c r="L62" i="29"/>
  <c r="L55" i="29"/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L74" i="29"/>
  <c r="L73" i="29"/>
  <c r="L71" i="29"/>
  <c r="L64" i="29" l="1"/>
  <c r="M16" i="29" l="1"/>
  <c r="M17" i="29" s="1"/>
  <c r="M18" i="29" s="1"/>
  <c r="L43" i="29"/>
  <c r="L40" i="29" s="1"/>
  <c r="L44" i="29" s="1"/>
  <c r="N41" i="29"/>
  <c r="M41" i="29"/>
  <c r="M21" i="29" l="1"/>
  <c r="M22" i="29" s="1"/>
  <c r="M23" i="29" s="1"/>
  <c r="L41" i="29"/>
  <c r="L45" i="29" s="1"/>
  <c r="M42" i="29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M57" i="29"/>
  <c r="N57" i="29"/>
  <c r="L57" i="29"/>
  <c r="M65" i="29"/>
  <c r="M64" i="29"/>
  <c r="L56" i="29"/>
  <c r="L54" i="29"/>
  <c r="L53" i="29"/>
  <c r="N16" i="29"/>
  <c r="N17" i="29" s="1"/>
  <c r="N18" i="29" s="1"/>
  <c r="M29" i="29"/>
  <c r="N29" i="29"/>
  <c r="M30" i="29"/>
  <c r="M32" i="29" l="1"/>
  <c r="M33" i="29" s="1"/>
  <c r="M26" i="29"/>
  <c r="M27" i="29" s="1"/>
  <c r="M28" i="29" s="1"/>
  <c r="N21" i="29"/>
  <c r="N22" i="29" s="1"/>
  <c r="N23" i="29" s="1"/>
  <c r="N31" i="29"/>
  <c r="M31" i="29"/>
  <c r="M111" i="29"/>
  <c r="M112" i="29" s="1"/>
  <c r="M113" i="29" s="1"/>
  <c r="M114" i="29" s="1"/>
  <c r="N26" i="29" l="1"/>
  <c r="N27" i="29" s="1"/>
  <c r="N28" i="29" s="1"/>
  <c r="N32" i="29"/>
  <c r="M34" i="29"/>
  <c r="Q111" i="29"/>
  <c r="Q112" i="29" s="1"/>
  <c r="X111" i="29"/>
  <c r="X112" i="29" s="1"/>
  <c r="N33" i="29" l="1"/>
  <c r="N34" i="29" s="1"/>
  <c r="X99" i="29"/>
  <c r="U99" i="29"/>
  <c r="Q99" i="29"/>
  <c r="P99" i="29"/>
  <c r="O99" i="29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P86" i="29"/>
  <c r="L79" i="29" l="1"/>
  <c r="L31" i="29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76" i="29"/>
  <c r="L66" i="29" l="1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83" i="29"/>
  <c r="L94" i="29" s="1"/>
  <c r="L68" i="29"/>
  <c r="L27" i="29"/>
  <c r="L69" i="29" l="1"/>
  <c r="L28" i="29"/>
  <c r="L70" i="29" s="1"/>
  <c r="L32" i="29" s="1"/>
  <c r="R85" i="29"/>
  <c r="R93" i="29"/>
  <c r="L77" i="29"/>
  <c r="L65" i="29"/>
  <c r="N76" i="29"/>
  <c r="N56" i="29"/>
  <c r="R16" i="29"/>
  <c r="R41" i="29" s="1"/>
  <c r="L33" i="29" l="1"/>
  <c r="L34" i="29" s="1"/>
  <c r="N58" i="29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<sst xmlns="http://schemas.openxmlformats.org/spreadsheetml/2006/main" count="859" uniqueCount="440">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</sst>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I22" sqref="I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10" activePane="bottomLeft" state="frozen"/>
      <selection activeCell="D1" sqref="D1"/>
      <selection pane="bottomLeft" activeCell="H33" sqref="H33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M32: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M43*1.9</f>
        <v>308.65499999999997</v>
      </c>
      <c r="N40" s="39">
        <f t="shared" si="34"/>
        <v>27436000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1114.2445499999999</v>
      </c>
      <c r="N41" s="39">
        <f t="shared" si="34"/>
        <v>99043960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4022.4228254999989</v>
      </c>
      <c r="N42" s="39">
        <f t="shared" si="34"/>
        <v>357548695.59999996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8">M39*1.9</f>
        <v>162.44999999999999</v>
      </c>
      <c r="N43" s="39">
        <f t="shared" si="38"/>
        <v>14440000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8"/>
        <v>586.44449999999995</v>
      </c>
      <c r="N44" s="39">
        <f t="shared" si="38"/>
        <v>52128400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8"/>
        <v>2117.0646449999995</v>
      </c>
      <c r="N45" s="39">
        <f t="shared" si="38"/>
        <v>188183524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5">M56*1.1</f>
        <v>2218.798828125</v>
      </c>
      <c r="N57" s="39">
        <f t="shared" si="45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L63*1.3</f>
        <v>1121421961.816407</v>
      </c>
      <c r="M64" s="39">
        <f t="shared" ref="M64:N64" si="46">M63*1.3</f>
        <v>9083.517890712892</v>
      </c>
      <c r="N64" s="39">
        <f t="shared" si="46"/>
        <v>2242843923.6328139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1233564157.9980478</v>
      </c>
      <c r="M65" s="39">
        <f t="shared" ref="M65:N65" si="47">M64*1.1</f>
        <v>9991.8696797841822</v>
      </c>
      <c r="N65" s="39">
        <f t="shared" si="47"/>
        <v>2467128315.9960957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>L54*0.8</f>
        <v>106250000</v>
      </c>
      <c r="M72" s="39"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>L61*0.8</f>
        <v>482591484.37500024</v>
      </c>
      <c r="M73" s="39">
        <v>8795.229802734375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>L65*0.8</f>
        <v>986851326.39843833</v>
      </c>
      <c r="M74" s="39">
        <v>16601.875775641409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48">M53*1.1</f>
        <v>696.09375</v>
      </c>
      <c r="N79" s="39">
        <f t="shared" si="48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49">M55*1.1</f>
        <v>1479.1992187500002</v>
      </c>
      <c r="N80" s="39">
        <f t="shared" si="49"/>
        <v>365234375</v>
      </c>
      <c r="O80" s="39">
        <f t="shared" ref="O80:P88" si="50">O52*1</f>
        <v>30000</v>
      </c>
      <c r="P80" s="39">
        <f t="shared" si="50"/>
        <v>380</v>
      </c>
      <c r="Q80" s="36">
        <v>0.75</v>
      </c>
      <c r="R80" s="39">
        <f t="shared" ref="R80:T88" si="51">R52*1</f>
        <v>2400</v>
      </c>
      <c r="S80" s="39">
        <f t="shared" si="51"/>
        <v>100</v>
      </c>
      <c r="T80" s="39">
        <f t="shared" si="51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52">M57*1.1</f>
        <v>2440.6787109375</v>
      </c>
      <c r="N81" s="39">
        <f t="shared" si="52"/>
        <v>602636718.75</v>
      </c>
      <c r="O81" s="39">
        <f t="shared" si="50"/>
        <v>30000</v>
      </c>
      <c r="P81" s="39">
        <f t="shared" si="50"/>
        <v>385</v>
      </c>
      <c r="Q81" s="36">
        <v>0.75</v>
      </c>
      <c r="R81" s="39">
        <f t="shared" si="51"/>
        <v>3600</v>
      </c>
      <c r="S81" s="39">
        <f t="shared" si="51"/>
        <v>100</v>
      </c>
      <c r="T81" s="39">
        <f t="shared" si="51"/>
        <v>200</v>
      </c>
      <c r="U81" s="39">
        <f t="shared" ref="U81:U88" si="53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464030273.43750012</v>
      </c>
      <c r="M82" s="39">
        <f t="shared" ref="M82:N82" si="54">M59*1.1</f>
        <v>3758.6452148437502</v>
      </c>
      <c r="N82" s="39">
        <f t="shared" si="54"/>
        <v>928060546.87500024</v>
      </c>
      <c r="O82" s="39">
        <f t="shared" si="50"/>
        <v>30000</v>
      </c>
      <c r="P82" s="39">
        <f t="shared" si="50"/>
        <v>390</v>
      </c>
      <c r="Q82" s="36">
        <v>0.75</v>
      </c>
      <c r="R82" s="39">
        <f t="shared" si="51"/>
        <v>5400</v>
      </c>
      <c r="S82" s="39">
        <f t="shared" si="51"/>
        <v>100</v>
      </c>
      <c r="T82" s="39">
        <f t="shared" si="51"/>
        <v>200</v>
      </c>
      <c r="U82" s="39">
        <f t="shared" si="53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663563291.01562536</v>
      </c>
      <c r="M83" s="39">
        <f t="shared" ref="M83:N83" si="55">M61*1.1</f>
        <v>5374.8626572265639</v>
      </c>
      <c r="N83" s="39">
        <f t="shared" si="55"/>
        <v>1327126582.0312507</v>
      </c>
      <c r="O83" s="39">
        <f t="shared" si="50"/>
        <v>30000</v>
      </c>
      <c r="P83" s="39">
        <f t="shared" si="50"/>
        <v>395</v>
      </c>
      <c r="Q83" s="36">
        <v>0.75</v>
      </c>
      <c r="R83" s="39">
        <f t="shared" si="51"/>
        <v>7560</v>
      </c>
      <c r="S83" s="39">
        <f t="shared" si="51"/>
        <v>100</v>
      </c>
      <c r="T83" s="39">
        <f t="shared" si="51"/>
        <v>200</v>
      </c>
      <c r="U83" s="39">
        <f t="shared" si="53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948895506.15234435</v>
      </c>
      <c r="M84" s="39">
        <f t="shared" ref="M84:N84" si="56">M63*1.1</f>
        <v>7686.0535998339856</v>
      </c>
      <c r="N84" s="39">
        <f t="shared" si="56"/>
        <v>1897791012.3046887</v>
      </c>
      <c r="O84" s="39">
        <f t="shared" si="50"/>
        <v>30000</v>
      </c>
      <c r="P84" s="39">
        <f t="shared" si="50"/>
        <v>400</v>
      </c>
      <c r="Q84" s="36">
        <v>0.75</v>
      </c>
      <c r="R84" s="39">
        <f t="shared" si="51"/>
        <v>9828</v>
      </c>
      <c r="S84" s="39">
        <f t="shared" si="51"/>
        <v>100</v>
      </c>
      <c r="T84" s="39">
        <f t="shared" si="51"/>
        <v>200</v>
      </c>
      <c r="U84" s="39">
        <f t="shared" si="53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1295242365.8979502</v>
      </c>
      <c r="M85" s="39">
        <f t="shared" ref="M85:N85" si="57">M65*1.05</f>
        <v>10491.463163773391</v>
      </c>
      <c r="N85" s="39">
        <f t="shared" si="57"/>
        <v>2590484731.7959003</v>
      </c>
      <c r="O85" s="39">
        <f t="shared" si="50"/>
        <v>30000</v>
      </c>
      <c r="P85" s="39">
        <f t="shared" si="50"/>
        <v>405</v>
      </c>
      <c r="Q85" s="36">
        <v>0.75</v>
      </c>
      <c r="R85" s="39">
        <f t="shared" si="51"/>
        <v>12776.400000000001</v>
      </c>
      <c r="S85" s="39">
        <f t="shared" si="51"/>
        <v>100</v>
      </c>
      <c r="T85" s="39">
        <f t="shared" si="51"/>
        <v>200</v>
      </c>
      <c r="U85" s="39">
        <f t="shared" si="53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1424766602.4877453</v>
      </c>
      <c r="M86" s="39">
        <f t="shared" ref="M86:N88" si="58">M85*1.1</f>
        <v>11540.609480150732</v>
      </c>
      <c r="N86" s="39">
        <f t="shared" si="58"/>
        <v>2849533204.9754906</v>
      </c>
      <c r="O86" s="39">
        <f t="shared" si="50"/>
        <v>30000</v>
      </c>
      <c r="P86" s="39">
        <f t="shared" si="50"/>
        <v>410</v>
      </c>
      <c r="Q86" s="36">
        <v>0.75</v>
      </c>
      <c r="R86" s="39">
        <f t="shared" si="51"/>
        <v>15331.68</v>
      </c>
      <c r="S86" s="39">
        <f t="shared" si="51"/>
        <v>100</v>
      </c>
      <c r="T86" s="39">
        <f t="shared" si="51"/>
        <v>200</v>
      </c>
      <c r="U86" s="39">
        <f t="shared" si="53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1567243262.7365201</v>
      </c>
      <c r="M87" s="39">
        <f t="shared" si="58"/>
        <v>12694.670428165806</v>
      </c>
      <c r="N87" s="39">
        <f t="shared" si="58"/>
        <v>3134486525.4730401</v>
      </c>
      <c r="O87" s="39">
        <f t="shared" si="50"/>
        <v>30000</v>
      </c>
      <c r="P87" s="39">
        <f t="shared" si="50"/>
        <v>415</v>
      </c>
      <c r="Q87" s="36">
        <v>0.75</v>
      </c>
      <c r="R87" s="39">
        <f t="shared" si="51"/>
        <v>18398.016</v>
      </c>
      <c r="S87" s="39">
        <f t="shared" si="51"/>
        <v>100</v>
      </c>
      <c r="T87" s="39">
        <f t="shared" si="51"/>
        <v>200</v>
      </c>
      <c r="U87" s="39">
        <f t="shared" si="53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1723967589.0101721</v>
      </c>
      <c r="M88" s="39">
        <f t="shared" si="58"/>
        <v>13964.137470982387</v>
      </c>
      <c r="N88" s="39">
        <f t="shared" si="58"/>
        <v>3447935178.0203443</v>
      </c>
      <c r="O88" s="39">
        <f t="shared" si="50"/>
        <v>30000</v>
      </c>
      <c r="P88" s="39">
        <f t="shared" si="50"/>
        <v>420</v>
      </c>
      <c r="Q88" s="36">
        <v>0.75</v>
      </c>
      <c r="R88" s="39">
        <f t="shared" si="51"/>
        <v>22077.619200000001</v>
      </c>
      <c r="S88" s="39">
        <f t="shared" si="51"/>
        <v>100</v>
      </c>
      <c r="T88" s="39">
        <f t="shared" si="51"/>
        <v>200</v>
      </c>
      <c r="U88" s="39">
        <f t="shared" si="53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59">M93/10</f>
        <v>256.27126464843752</v>
      </c>
      <c r="N89" s="39">
        <f t="shared" si="59"/>
        <v>63276855.46875</v>
      </c>
      <c r="O89" s="39">
        <f t="shared" ref="O89:U89" si="60">O55*1</f>
        <v>30000</v>
      </c>
      <c r="P89" s="39">
        <f t="shared" si="60"/>
        <v>395</v>
      </c>
      <c r="Q89" s="39">
        <f t="shared" si="60"/>
        <v>0.75</v>
      </c>
      <c r="R89" s="39">
        <f t="shared" si="60"/>
        <v>7560</v>
      </c>
      <c r="S89" s="39">
        <f t="shared" si="60"/>
        <v>100</v>
      </c>
      <c r="T89" s="39">
        <f t="shared" si="60"/>
        <v>200</v>
      </c>
      <c r="U89" s="39">
        <f t="shared" si="60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69674145.556640655</v>
      </c>
      <c r="M90" s="39">
        <f t="shared" ref="M90:N90" si="61">M94/10</f>
        <v>564.36057900878927</v>
      </c>
      <c r="N90" s="39">
        <f t="shared" si="61"/>
        <v>139348291.11328131</v>
      </c>
      <c r="O90" s="39">
        <f t="shared" ref="O90:U90" si="62">O59*1</f>
        <v>30000</v>
      </c>
      <c r="P90" s="39">
        <f t="shared" si="62"/>
        <v>415</v>
      </c>
      <c r="Q90" s="39">
        <f t="shared" si="62"/>
        <v>0.75</v>
      </c>
      <c r="R90" s="39">
        <f t="shared" si="62"/>
        <v>18398.016</v>
      </c>
      <c r="S90" s="39">
        <f t="shared" si="62"/>
        <v>100</v>
      </c>
      <c r="T90" s="39">
        <f t="shared" si="62"/>
        <v>200</v>
      </c>
      <c r="U90" s="39">
        <f t="shared" si="62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136000448.41928476</v>
      </c>
      <c r="M91" s="39">
        <f t="shared" ref="M91:N91" si="63">M95/10</f>
        <v>1101.603632196206</v>
      </c>
      <c r="N91" s="39">
        <f t="shared" si="63"/>
        <v>272000896.83856952</v>
      </c>
      <c r="O91" s="39">
        <f t="shared" ref="O91:U91" si="64">O63*1</f>
        <v>30000</v>
      </c>
      <c r="P91" s="39">
        <f t="shared" si="64"/>
        <v>435</v>
      </c>
      <c r="Q91" s="39">
        <f t="shared" si="64"/>
        <v>0.75</v>
      </c>
      <c r="R91" s="39">
        <f t="shared" si="64"/>
        <v>48217.520332799992</v>
      </c>
      <c r="S91" s="39">
        <f t="shared" si="64"/>
        <v>100</v>
      </c>
      <c r="T91" s="39">
        <f t="shared" si="64"/>
        <v>200</v>
      </c>
      <c r="U91" s="39">
        <f t="shared" si="64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164560542.5873346</v>
      </c>
      <c r="M92" s="39">
        <f t="shared" ref="M92:N92" si="65">M96/10</f>
        <v>1332.9403949574096</v>
      </c>
      <c r="N92" s="39">
        <f t="shared" si="65"/>
        <v>329121085.17466921</v>
      </c>
      <c r="O92" s="39">
        <f t="shared" ref="O92:U92" si="66">O69*1</f>
        <v>30000</v>
      </c>
      <c r="P92" s="39">
        <f t="shared" si="66"/>
        <v>465</v>
      </c>
      <c r="Q92" s="39">
        <f t="shared" si="66"/>
        <v>0.75</v>
      </c>
      <c r="R92" s="39">
        <f t="shared" si="66"/>
        <v>181970.60729501117</v>
      </c>
      <c r="S92" s="39">
        <f t="shared" si="66"/>
        <v>100</v>
      </c>
      <c r="T92" s="39">
        <f t="shared" si="66"/>
        <v>200</v>
      </c>
      <c r="U92" s="39">
        <f t="shared" si="66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67">M81*1.05</f>
        <v>2562.712646484375</v>
      </c>
      <c r="N93" s="39">
        <f t="shared" si="67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696741455.56640661</v>
      </c>
      <c r="M94" s="39">
        <f t="shared" ref="M94:N94" si="68">M83*1.05</f>
        <v>5643.6057900878923</v>
      </c>
      <c r="N94" s="39">
        <f t="shared" si="68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1360004484.1928477</v>
      </c>
      <c r="M95" s="39">
        <f t="shared" ref="M95:N95" si="69">M85*1.05</f>
        <v>11016.036321962061</v>
      </c>
      <c r="N95" s="39">
        <f t="shared" si="69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1645605425.8733461</v>
      </c>
      <c r="M96" s="39">
        <f t="shared" ref="M96:N96" si="70">M87*1.05</f>
        <v>13329.403949574096</v>
      </c>
      <c r="N96" s="39">
        <f t="shared" si="70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71">O4</f>
        <v>100</v>
      </c>
      <c r="P97" s="39">
        <f t="shared" si="71"/>
        <v>350</v>
      </c>
      <c r="Q97" s="39">
        <f t="shared" si="71"/>
        <v>1</v>
      </c>
      <c r="R97" s="39">
        <f t="shared" si="71"/>
        <v>10</v>
      </c>
      <c r="S97" s="39">
        <f t="shared" si="71"/>
        <v>1</v>
      </c>
      <c r="T97" s="39">
        <f t="shared" si="71"/>
        <v>200</v>
      </c>
      <c r="U97" s="39">
        <f t="shared" si="71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72">O4</f>
        <v>100</v>
      </c>
      <c r="P98" s="39">
        <f t="shared" si="72"/>
        <v>350</v>
      </c>
      <c r="Q98" s="39">
        <f t="shared" si="72"/>
        <v>1</v>
      </c>
      <c r="R98" s="39">
        <f t="shared" si="72"/>
        <v>10</v>
      </c>
      <c r="S98" s="39">
        <f t="shared" si="72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72"/>
        <v>100</v>
      </c>
      <c r="P99" s="39">
        <f t="shared" si="72"/>
        <v>355</v>
      </c>
      <c r="Q99" s="39">
        <f t="shared" si="72"/>
        <v>1</v>
      </c>
      <c r="R99" s="39">
        <f t="shared" si="72"/>
        <v>100</v>
      </c>
      <c r="S99" s="39">
        <f t="shared" si="72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980263952.63671923</v>
      </c>
      <c r="M100">
        <f t="shared" ref="M100:N100" si="73">M62*1.25</f>
        <v>7940.1380163574231</v>
      </c>
      <c r="N100">
        <f t="shared" si="73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1810165968.4606807</v>
      </c>
      <c r="M109">
        <f t="shared" ref="M109:N109" si="74">M88*1.05</f>
        <v>14662.344344531506</v>
      </c>
      <c r="N109">
        <f t="shared" si="74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1282906724.3179698</v>
      </c>
      <c r="M111">
        <f>M74*1.3</f>
        <v>21582.438508333831</v>
      </c>
      <c r="N111">
        <f>N74*1.3</f>
        <v>2886540129.7154322</v>
      </c>
      <c r="O111" s="53">
        <f t="shared" ref="O111:X111" si="75">O74</f>
        <v>30000</v>
      </c>
      <c r="P111" s="53">
        <f t="shared" si="75"/>
        <v>420</v>
      </c>
      <c r="Q111" s="53">
        <f t="shared" si="75"/>
        <v>0.75</v>
      </c>
      <c r="R111" s="53">
        <f t="shared" si="75"/>
        <v>22077.619200000001</v>
      </c>
      <c r="S111" s="53">
        <f t="shared" si="75"/>
        <v>100</v>
      </c>
      <c r="T111" s="53">
        <f t="shared" si="75"/>
        <v>200</v>
      </c>
      <c r="U111" s="53">
        <f t="shared" si="75"/>
        <v>150</v>
      </c>
      <c r="V111" s="53">
        <v>20</v>
      </c>
      <c r="W111" s="53">
        <v>4500</v>
      </c>
      <c r="X111" s="53">
        <f t="shared" si="75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1308564858.8043292</v>
      </c>
      <c r="M112">
        <f t="shared" ref="M112:N112" si="76">M111*1.02</f>
        <v>22014.087278500509</v>
      </c>
      <c r="N112">
        <f t="shared" si="76"/>
        <v>2944270932.309741</v>
      </c>
      <c r="O112" s="53">
        <f t="shared" ref="O112:X114" si="77">O111</f>
        <v>30000</v>
      </c>
      <c r="P112" s="53">
        <f t="shared" si="77"/>
        <v>420</v>
      </c>
      <c r="Q112" s="53">
        <f t="shared" si="77"/>
        <v>0.75</v>
      </c>
      <c r="R112" s="53">
        <f t="shared" si="77"/>
        <v>22077.619200000001</v>
      </c>
      <c r="S112" s="53">
        <f t="shared" si="77"/>
        <v>100</v>
      </c>
      <c r="T112" s="53">
        <f t="shared" si="77"/>
        <v>200</v>
      </c>
      <c r="U112" s="53">
        <f t="shared" si="77"/>
        <v>150</v>
      </c>
      <c r="V112" s="53">
        <v>20</v>
      </c>
      <c r="W112" s="53">
        <v>4500</v>
      </c>
      <c r="X112" s="53">
        <f t="shared" si="77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78">L112*1.02</f>
        <v>1334736155.9804158</v>
      </c>
      <c r="M113">
        <f t="shared" ref="M113:M114" si="79">M112*1.02</f>
        <v>22454.369024070518</v>
      </c>
      <c r="N113">
        <f t="shared" ref="N113:N114" si="80">N112*1.02</f>
        <v>3003156350.955936</v>
      </c>
      <c r="O113" s="53">
        <f t="shared" si="77"/>
        <v>30000</v>
      </c>
      <c r="P113" s="53">
        <f t="shared" si="77"/>
        <v>420</v>
      </c>
      <c r="Q113" s="53">
        <f t="shared" si="77"/>
        <v>0.75</v>
      </c>
      <c r="R113" s="53">
        <f t="shared" si="77"/>
        <v>22077.619200000001</v>
      </c>
      <c r="S113" s="53">
        <f t="shared" si="77"/>
        <v>100</v>
      </c>
      <c r="T113" s="53">
        <f t="shared" si="77"/>
        <v>200</v>
      </c>
      <c r="U113" s="53">
        <f t="shared" si="77"/>
        <v>150</v>
      </c>
      <c r="V113" s="53">
        <v>20</v>
      </c>
      <c r="W113" s="53">
        <v>4500</v>
      </c>
      <c r="X113" s="53">
        <f t="shared" si="77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78"/>
        <v>1361430879.1000242</v>
      </c>
      <c r="M114">
        <f t="shared" si="79"/>
        <v>22903.456404551929</v>
      </c>
      <c r="N114">
        <f t="shared" si="80"/>
        <v>3063219477.9750547</v>
      </c>
      <c r="O114" s="53">
        <f t="shared" si="77"/>
        <v>30000</v>
      </c>
      <c r="P114" s="53">
        <f t="shared" si="77"/>
        <v>420</v>
      </c>
      <c r="Q114" s="53">
        <f t="shared" si="77"/>
        <v>0.75</v>
      </c>
      <c r="R114" s="53">
        <f t="shared" si="77"/>
        <v>22077.619200000001</v>
      </c>
      <c r="S114" s="53">
        <f t="shared" si="77"/>
        <v>100</v>
      </c>
      <c r="T114" s="53">
        <f t="shared" si="77"/>
        <v>200</v>
      </c>
      <c r="U114" s="53">
        <f t="shared" si="77"/>
        <v>150</v>
      </c>
      <c r="V114" s="53">
        <v>20</v>
      </c>
      <c r="W114" s="53">
        <v>4500</v>
      </c>
      <c r="X114" s="53">
        <f t="shared" si="77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2019-07-05T14:16:22Z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