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CCCB7537-B8A4-4F28-BF94-ECC5388E02FF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15" i="29" l="1"/>
  <c r="O115" i="29"/>
  <c r="M115" i="29"/>
  <c r="M88" i="29"/>
  <c r="U115" i="29"/>
  <c r="S115" i="29"/>
  <c r="Q115" i="29"/>
  <c r="P115" i="29"/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<sst xmlns="http://schemas.openxmlformats.org/spreadsheetml/2006/main" count="872" uniqueCount="444">
  <si>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</si>
  <si>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</si>
  <si>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</si>
  <si>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</si>
  <si>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</si>
  <si>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</si>
  <si>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</si>
  <si>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</si>
  <si>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</si>
  <si>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</si>
  <si>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</si>
  <si>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</si>
  <si>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</si>
  <si>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</si>
  <si>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</si>
  <si>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</si>
  <si>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</si>
  <si>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</si>
  <si>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</si>
  <si>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</si>
  <si>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</si>
  <si>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</si>
  <si>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</si>
  <si>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</si>
  <si>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</si>
  <si>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</si>
  <si>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</si>
  <si>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</si>
  <si>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</si>
  <si>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</si>
  <si>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</si>
  <si>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</si>
  <si>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</si>
  <si>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</si>
  <si>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</si>
  <si>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</si>
  <si>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</si>
  <si>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</si>
  <si>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</si>
  <si>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</si>
  <si>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</si>
  <si>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</si>
  <si>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</si>
  <si>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</si>
  <si>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</si>
  <si>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</si>
  <si>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</si>
  <si>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</si>
  <si>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</si>
  <si>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</si>
  <si>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</si>
  <si>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</si>
  <si>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</si>
  <si>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</si>
  <si>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</si>
  <si>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</si>
  <si>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</si>
  <si>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</si>
  <si>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</si>
  <si>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</si>
  <si>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</si>
  <si>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</si>
  <si>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</si>
  <si>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</si>
  <si>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</si>
  <si>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</si>
  <si>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</si>
  <si>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</si>
  <si>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</si>
  <si>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</si>
  <si>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</si>
  <si>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</si>
  <si>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</si>
  <si>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</si>
  <si>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</si>
  <si>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</si>
  <si>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</si>
  <si>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</si>
  <si>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</si>
  <si>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</si>
  <si>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</si>
  <si>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</si>
  <si>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</si>
  <si>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</si>
  <si>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</si>
  <si>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</si>
  <si>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</si>
  <si>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</si>
  <si>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</si>
  <si>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</si>
  <si>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</si>
  <si>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</si>
  <si>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</si>
  <si>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</si>
  <si>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</si>
  <si>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</si>
  <si>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</si>
  <si>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</si>
  <si>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</si>
  <si>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</si>
  <si>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</si>
  <si>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</si>
  <si>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</si>
  <si>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</si>
  <si>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</si>
  <si>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</si>
  <si>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</si>
  <si>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</si>
  <si>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</si>
  <si>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</si>
  <si>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</si>
  <si>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</si>
  <si>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</si>
  <si>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</si>
  <si>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</si>
  <si>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</si>
  <si>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</si>
  <si>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</si>
  <si>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</si>
  <si>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</si>
  <si>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</si>
  <si>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</si>
  <si>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</si>
  <si>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</si>
  <si>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</si>
  <si>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</si>
  <si>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</si>
  <si>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</si>
  <si>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</si>
  <si>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</si>
  <si>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</si>
  <si>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</si>
  <si>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</si>
  <si>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</si>
  <si>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</si>
  <si>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</si>
  <si>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</si>
  <si>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</si>
  <si>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</si>
  <si>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</si>
  <si>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</si>
  <si>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</si>
  <si>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</si>
  <si>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</si>
  <si>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</si>
  <si>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</si>
  <si>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</si>
  <si>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</si>
  <si>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</si>
  <si>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</si>
  <si>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</si>
  <si>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</si>
  <si>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</si>
  <si>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</si>
  <si>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</si>
  <si>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</si>
  <si>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</si>
  <si>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</si>
  <si>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</si>
  <si>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</si>
  <si>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</si>
  <si>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</si>
  <si>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</si>
  <si>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</si>
  <si>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</si>
  <si>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</si>
  <si>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</si>
  <si>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</si>
  <si>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</si>
  <si>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</si>
  <si>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</si>
  <si>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</si>
  <si>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</si>
  <si>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</si>
  <si>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</si>
  <si>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</si>
  <si>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</si>
  <si>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</si>
  <si>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</si>
  <si>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</si>
  <si>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</si>
  <si>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</si>
  <si>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</si>
  <si>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</si>
  <si>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</si>
  <si>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</si>
  <si>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</si>
  <si>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</si>
  <si>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</si>
  <si>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</si>
  <si>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</si>
  <si>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</si>
  <si>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</si>
  <si>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</si>
  <si>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</si>
  <si>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</si>
  <si>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</si>
  <si>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</si>
  <si>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</si>
  <si>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</si>
  <si>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</si>
  <si>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</si>
  <si>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</si>
  <si>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</si>
  <si>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</si>
  <si>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</si>
  <si>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</si>
  <si>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</si>
  <si>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</si>
  <si>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</si>
  <si>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</si>
  <si>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</si>
  <si>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</si>
  <si>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</si>
  <si>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</si>
  <si>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</si>
  <si>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</si>
  <si>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</si>
  <si>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</si>
  <si>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</si>
  <si>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</si>
  <si>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</si>
  <si>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</si>
  <si>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</si>
  <si>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</si>
  <si>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</si>
  <si>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</si>
  <si>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</si>
  <si>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</si>
  <si>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</si>
  <si>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</si>
  <si>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</si>
  <si>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</si>
  <si>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</si>
  <si>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</si>
  <si>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</si>
  <si>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</si>
  <si>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</si>
  <si>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</si>
  <si>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</si>
  <si>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</si>
  <si>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</si>
  <si>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</si>
  <si>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</si>
  <si>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</si>
  <si>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</si>
  <si>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</si>
  <si>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</si>
  <si>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</si>
  <si>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</si>
  <si>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</si>
  <si>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</si>
  <si>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</si>
  <si>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</si>
  <si>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</si>
  <si>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</si>
  <si>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</si>
  <si>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</si>
  <si>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</si>
  <si>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</si>
  <si>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</si>
  <si>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</si>
  <si>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</si>
  <si>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</si>
  <si>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</si>
  <si>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</si>
  <si>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</si>
  <si>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</si>
  <si>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</si>
  <si>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</si>
  <si>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</si>
  <si>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</si>
  <si>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</si>
  <si>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</si>
  <si>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</si>
  <si>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</si>
  <si>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</si>
  <si>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</si>
  <si>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</si>
  <si>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</si>
  <si>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</si>
  <si>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</si>
  <si>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</si>
  <si>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</si>
  <si>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</si>
  <si>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</si>
  <si>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</si>
  <si>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</si>
  <si>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</si>
  <si>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</si>
  <si>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</si>
  <si>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</si>
  <si>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</si>
  <si>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</si>
  <si>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</si>
  <si>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</si>
  <si>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</si>
  <si>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</si>
  <si>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</si>
  <si>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</si>
  <si>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</si>
  <si>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</si>
  <si>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</si>
  <si>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</si>
  <si>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</si>
  <si>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</si>
  <si>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</si>
  <si>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</si>
  <si>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</si>
  <si>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</si>
  <si>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</si>
  <si>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</si>
  <si>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</si>
  <si>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</si>
  <si>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</si>
  <si>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</si>
  <si>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</si>
  <si>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</si>
  <si>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</si>
  <si>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</si>
  <si>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</si>
  <si>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</si>
  <si>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</si>
  <si>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</si>
  <si>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</si>
  <si>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</si>
  <si>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</si>
  <si>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</si>
  <si>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</si>
  <si>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</si>
  <si>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</si>
  <si>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</si>
  <si>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</si>
  <si>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</si>
  <si>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</si>
  <si>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</si>
  <si>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</si>
  <si>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</si>
  <si>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</si>
  <si>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</si>
  <si>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</si>
  <si>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</si>
  <si>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</si>
  <si>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</si>
  <si>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</si>
  <si>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</si>
  <si>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</si>
  <si>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</si>
  <si>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</si>
  <si>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</si>
  <si>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</si>
  <si>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</si>
  <si>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</si>
  <si>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</si>
  <si>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</si>
  <si>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</si>
  <si>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</si>
  <si>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</si>
  <si>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</si>
  <si>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</si>
  <si>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</si>
  <si>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</si>
  <si>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</si>
  <si>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</si>
  <si>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</si>
  <si>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</si>
  <si>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</si>
  <si>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</si>
  <si>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</si>
  <si>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</si>
  <si>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</si>
  <si>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</si>
  <si>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</si>
  <si>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</si>
  <si>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</si>
  <si>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</si>
  <si>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</si>
  <si>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</si>
  <si>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</si>
  <si>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</si>
  <si>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</si>
  <si>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</si>
  <si>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</si>
  <si>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</si>
  <si>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</si>
  <si>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</si>
  <si>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</si>
  <si>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</si>
  <si>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</si>
  <si>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</si>
  <si>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</si>
  <si>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</si>
  <si>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</si>
  <si>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</si>
  <si>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</si>
  <si>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</si>
  <si>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</si>
  <si>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</si>
  <si>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</si>
  <si>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</si>
  <si>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</si>
  <si>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</si>
  <si>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</si>
  <si>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</si>
  <si>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</si>
  <si>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</si>
  <si>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</si>
  <si>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</si>
  <si>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</si>
  <si>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</si>
  <si>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</si>
  <si>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</si>
  <si>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</si>
  <si>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</si>
  <si>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</si>
  <si>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</si>
  <si>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</si>
  <si>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</si>
  <si>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</si>
  <si>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</si>
  <si>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</si>
  <si>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</si>
  <si>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</si>
  <si>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</si>
  <si>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</si>
  <si>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</si>
  <si>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</si>
  <si>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</si>
  <si>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</si>
  <si>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</si>
  <si>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</si>
  <si>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</si>
  <si>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</si>
  <si>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</si>
  <si>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</si>
  <si>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</si>
  <si>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</si>
  <si>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</si>
  <si>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</si>
  <si>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</si>
  <si>
    <t>神帝</t>
    <phoneticPr fontId="6" type="noConversion"/>
  </si>
  <si>
    <t>u112</t>
  </si>
  <si>
    <t>chibang2.mdx</t>
    <phoneticPr fontId="6" type="noConversion"/>
  </si>
  <si>
    <t>doudi.mdx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</si>
</sst>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5"/>
  <sheetViews>
    <sheetView workbookViewId="0">
      <pane xSplit="1" ySplit="3" topLeftCell="B94" activePane="bottomRight" state="frozen"/>
      <selection pane="topRight"/>
      <selection pane="bottomLeft"/>
      <selection pane="bottomRight" activeCell="A120" sqref="A12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346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326</v>
      </c>
      <c r="C4" s="28" t="s">
        <v>323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324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344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343</v>
      </c>
      <c r="B34" s="11" t="s">
        <v>136</v>
      </c>
      <c r="C34" s="27" t="s">
        <v>349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349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409</v>
      </c>
      <c r="B43" s="11" t="s">
        <v>345</v>
      </c>
      <c r="C43" s="27" t="s">
        <v>325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410</v>
      </c>
      <c r="B44" s="11" t="s">
        <v>146</v>
      </c>
      <c r="C44" s="27" t="s">
        <v>325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411</v>
      </c>
      <c r="B45" s="11" t="s">
        <v>147</v>
      </c>
      <c r="C45" s="27" t="s">
        <v>325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429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431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432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350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351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352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350</v>
      </c>
      <c r="D62" s="3" t="s">
        <v>435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309</v>
      </c>
      <c r="F65" s="2"/>
      <c r="G65" s="3">
        <v>2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310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311</v>
      </c>
      <c r="F76" s="2"/>
      <c r="G76" s="3">
        <v>1.7</v>
      </c>
      <c r="I76" s="3">
        <v>60</v>
      </c>
    </row>
    <row r="77" spans="1:9" ht="15" x14ac:dyDescent="0.15">
      <c r="A77" s="27" t="s">
        <v>434</v>
      </c>
      <c r="B77" s="11" t="s">
        <v>179</v>
      </c>
      <c r="C77" s="27" t="s">
        <v>350</v>
      </c>
      <c r="D77" s="3" t="s">
        <v>433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321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356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312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313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430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314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355</v>
      </c>
      <c r="D84" s="3" t="s">
        <v>435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315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317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316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3" t="s">
        <v>339</v>
      </c>
      <c r="G88" s="3">
        <v>1.1000000000000001</v>
      </c>
      <c r="I88" s="3">
        <v>60</v>
      </c>
    </row>
    <row r="89" spans="1:9" ht="15" x14ac:dyDescent="0.15">
      <c r="A89" s="50" t="s">
        <v>357</v>
      </c>
      <c r="B89" s="11" t="s">
        <v>220</v>
      </c>
      <c r="C89" s="27" t="s">
        <v>400</v>
      </c>
      <c r="D89" s="3"/>
      <c r="G89" s="3">
        <v>1.1000000000000001</v>
      </c>
      <c r="I89" s="3">
        <v>10</v>
      </c>
    </row>
    <row r="90" spans="1:9" ht="15" x14ac:dyDescent="0.15">
      <c r="A90" s="50" t="s">
        <v>358</v>
      </c>
      <c r="B90" s="11" t="s">
        <v>221</v>
      </c>
      <c r="C90" s="27" t="s">
        <v>424</v>
      </c>
      <c r="D90" s="3"/>
      <c r="G90" s="3">
        <v>1</v>
      </c>
      <c r="I90" s="3">
        <v>10</v>
      </c>
    </row>
    <row r="91" spans="1:9" ht="15" x14ac:dyDescent="0.15">
      <c r="A91" s="50" t="s">
        <v>359</v>
      </c>
      <c r="B91" s="11" t="s">
        <v>222</v>
      </c>
      <c r="C91" s="27" t="s">
        <v>425</v>
      </c>
      <c r="D91" s="3"/>
      <c r="G91" s="3">
        <v>0.8</v>
      </c>
      <c r="I91" s="3">
        <v>10</v>
      </c>
    </row>
    <row r="92" spans="1:9" ht="15" x14ac:dyDescent="0.15">
      <c r="A92" s="50" t="s">
        <v>360</v>
      </c>
      <c r="B92" s="11" t="s">
        <v>223</v>
      </c>
      <c r="C92" s="27" t="s">
        <v>426</v>
      </c>
      <c r="D92" s="3"/>
      <c r="G92" s="3">
        <v>0.7</v>
      </c>
      <c r="I92" s="3">
        <v>10</v>
      </c>
    </row>
    <row r="93" spans="1:9" ht="15" x14ac:dyDescent="0.15">
      <c r="A93" s="50" t="s">
        <v>361</v>
      </c>
      <c r="B93" s="11" t="s">
        <v>224</v>
      </c>
      <c r="C93" s="27" t="s">
        <v>45</v>
      </c>
      <c r="D93" s="3" t="s">
        <v>318</v>
      </c>
      <c r="G93" s="3">
        <v>2.5</v>
      </c>
      <c r="I93" s="3">
        <v>60</v>
      </c>
    </row>
    <row r="94" spans="1:9" ht="15" x14ac:dyDescent="0.15">
      <c r="A94" s="50" t="s">
        <v>362</v>
      </c>
      <c r="B94" s="11" t="s">
        <v>225</v>
      </c>
      <c r="C94" s="27" t="s">
        <v>45</v>
      </c>
      <c r="D94" s="23" t="s">
        <v>319</v>
      </c>
      <c r="G94" s="3">
        <v>2.5</v>
      </c>
      <c r="I94" s="3">
        <v>60</v>
      </c>
    </row>
    <row r="95" spans="1:9" ht="15" x14ac:dyDescent="0.15">
      <c r="A95" s="50" t="s">
        <v>363</v>
      </c>
      <c r="B95" s="11" t="s">
        <v>226</v>
      </c>
      <c r="C95" s="27" t="s">
        <v>45</v>
      </c>
      <c r="D95" s="23" t="s">
        <v>320</v>
      </c>
      <c r="G95" s="3">
        <v>2.5</v>
      </c>
      <c r="I95" s="3">
        <v>60</v>
      </c>
    </row>
    <row r="96" spans="1:9" ht="15" x14ac:dyDescent="0.15">
      <c r="A96" s="50" t="s">
        <v>364</v>
      </c>
      <c r="B96" s="11" t="s">
        <v>227</v>
      </c>
      <c r="C96" s="27" t="s">
        <v>45</v>
      </c>
      <c r="D96" s="23" t="s">
        <v>321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322</v>
      </c>
      <c r="G97" s="3">
        <v>1</v>
      </c>
      <c r="I97" s="1">
        <v>10</v>
      </c>
    </row>
    <row r="98" spans="1:9" ht="15" x14ac:dyDescent="0.15">
      <c r="A98" s="3" t="s">
        <v>327</v>
      </c>
      <c r="B98" s="11" t="s">
        <v>328</v>
      </c>
      <c r="C98" s="27" t="s">
        <v>45</v>
      </c>
      <c r="D98" s="23" t="s">
        <v>353</v>
      </c>
      <c r="G98" s="3">
        <v>1.5</v>
      </c>
      <c r="I98" s="3">
        <v>60</v>
      </c>
    </row>
    <row r="99" spans="1:9" ht="15" x14ac:dyDescent="0.15">
      <c r="A99" s="51" t="s">
        <v>365</v>
      </c>
      <c r="B99" s="11" t="s">
        <v>366</v>
      </c>
      <c r="C99" s="26" t="s">
        <v>367</v>
      </c>
      <c r="G99" s="3">
        <v>1.5</v>
      </c>
      <c r="I99" s="1">
        <v>10</v>
      </c>
    </row>
    <row r="100" spans="1:9" ht="15" x14ac:dyDescent="0.15">
      <c r="A100" s="52" t="s">
        <v>418</v>
      </c>
      <c r="B100" s="11" t="s">
        <v>379</v>
      </c>
      <c r="C100" s="50" t="s">
        <v>388</v>
      </c>
      <c r="G100" s="3">
        <v>1</v>
      </c>
      <c r="I100" s="3">
        <v>60</v>
      </c>
    </row>
    <row r="101" spans="1:9" ht="15" x14ac:dyDescent="0.15">
      <c r="A101" s="52" t="s">
        <v>419</v>
      </c>
      <c r="B101" s="11" t="s">
        <v>380</v>
      </c>
      <c r="C101" s="50" t="s">
        <v>389</v>
      </c>
      <c r="G101" s="3">
        <v>1</v>
      </c>
      <c r="I101" s="3">
        <v>60</v>
      </c>
    </row>
    <row r="102" spans="1:9" ht="15" x14ac:dyDescent="0.15">
      <c r="A102" s="52" t="s">
        <v>420</v>
      </c>
      <c r="B102" s="11" t="s">
        <v>381</v>
      </c>
      <c r="C102" s="50" t="s">
        <v>390</v>
      </c>
      <c r="G102" s="3">
        <v>1</v>
      </c>
      <c r="I102" s="3">
        <v>60</v>
      </c>
    </row>
    <row r="103" spans="1:9" ht="15" x14ac:dyDescent="0.15">
      <c r="A103" s="52" t="s">
        <v>421</v>
      </c>
      <c r="B103" s="11" t="s">
        <v>382</v>
      </c>
      <c r="C103" s="50" t="s">
        <v>391</v>
      </c>
      <c r="G103" s="3">
        <v>1</v>
      </c>
      <c r="I103" s="3">
        <v>60</v>
      </c>
    </row>
    <row r="104" spans="1:9" ht="15" x14ac:dyDescent="0.15">
      <c r="A104" s="52" t="s">
        <v>415</v>
      </c>
      <c r="B104" s="11" t="s">
        <v>383</v>
      </c>
      <c r="C104" s="27" t="s">
        <v>45</v>
      </c>
      <c r="D104" s="50" t="s">
        <v>392</v>
      </c>
      <c r="G104" s="3">
        <v>1</v>
      </c>
      <c r="I104" s="3">
        <v>60</v>
      </c>
    </row>
    <row r="105" spans="1:9" ht="15" x14ac:dyDescent="0.15">
      <c r="A105" s="52" t="s">
        <v>416</v>
      </c>
      <c r="B105" s="11" t="s">
        <v>384</v>
      </c>
      <c r="C105" s="27" t="s">
        <v>45</v>
      </c>
      <c r="D105" s="50" t="s">
        <v>412</v>
      </c>
      <c r="G105" s="3">
        <v>1</v>
      </c>
      <c r="I105" s="3">
        <v>60</v>
      </c>
    </row>
    <row r="106" spans="1:9" ht="15" x14ac:dyDescent="0.15">
      <c r="A106" s="52" t="s">
        <v>417</v>
      </c>
      <c r="B106" s="11" t="s">
        <v>385</v>
      </c>
      <c r="C106" s="27" t="s">
        <v>45</v>
      </c>
      <c r="D106" s="50" t="s">
        <v>393</v>
      </c>
      <c r="G106" s="3">
        <v>1</v>
      </c>
      <c r="I106" s="3">
        <v>60</v>
      </c>
    </row>
    <row r="107" spans="1:9" ht="15" x14ac:dyDescent="0.15">
      <c r="A107" s="52" t="s">
        <v>422</v>
      </c>
      <c r="B107" s="11" t="s">
        <v>386</v>
      </c>
      <c r="C107" s="27" t="s">
        <v>45</v>
      </c>
      <c r="D107" s="54" t="s">
        <v>413</v>
      </c>
      <c r="G107" s="3">
        <v>1</v>
      </c>
      <c r="I107" s="3">
        <v>60</v>
      </c>
    </row>
    <row r="108" spans="1:9" ht="15" x14ac:dyDescent="0.15">
      <c r="A108" s="52" t="s">
        <v>423</v>
      </c>
      <c r="B108" s="11" t="s">
        <v>387</v>
      </c>
      <c r="C108" s="27" t="s">
        <v>45</v>
      </c>
      <c r="D108" s="54" t="s">
        <v>442</v>
      </c>
      <c r="G108" s="3">
        <v>1</v>
      </c>
      <c r="I108" s="3">
        <v>60</v>
      </c>
    </row>
    <row r="109" spans="1:9" ht="15" x14ac:dyDescent="0.15">
      <c r="A109" s="32" t="s">
        <v>394</v>
      </c>
      <c r="B109" s="11" t="s">
        <v>395</v>
      </c>
      <c r="C109" s="27" t="s">
        <v>45</v>
      </c>
      <c r="D109" s="17" t="s">
        <v>396</v>
      </c>
      <c r="G109" s="3">
        <v>1.5</v>
      </c>
      <c r="I109" s="3">
        <v>60</v>
      </c>
    </row>
    <row r="110" spans="1:9" ht="15" x14ac:dyDescent="0.15">
      <c r="A110" s="16" t="s">
        <v>397</v>
      </c>
      <c r="B110" s="11" t="s">
        <v>398</v>
      </c>
      <c r="C110" s="27" t="s">
        <v>399</v>
      </c>
      <c r="G110" s="3">
        <v>1</v>
      </c>
      <c r="I110" s="1">
        <v>10</v>
      </c>
    </row>
    <row r="111" spans="1:9" ht="15" x14ac:dyDescent="0.15">
      <c r="A111" s="50" t="s">
        <v>401</v>
      </c>
      <c r="B111" s="11" t="s">
        <v>405</v>
      </c>
      <c r="C111" s="27" t="s">
        <v>45</v>
      </c>
      <c r="D111" s="17" t="s">
        <v>392</v>
      </c>
      <c r="G111" s="3">
        <v>1</v>
      </c>
      <c r="I111" s="3">
        <v>60</v>
      </c>
    </row>
    <row r="112" spans="1:9" ht="15" x14ac:dyDescent="0.15">
      <c r="A112" s="50" t="s">
        <v>402</v>
      </c>
      <c r="B112" s="11" t="s">
        <v>406</v>
      </c>
      <c r="C112" s="27" t="s">
        <v>45</v>
      </c>
      <c r="D112" s="2" t="s">
        <v>414</v>
      </c>
      <c r="G112" s="3">
        <v>1</v>
      </c>
      <c r="I112" s="3">
        <v>60</v>
      </c>
    </row>
    <row r="113" spans="1:9" ht="15" x14ac:dyDescent="0.15">
      <c r="A113" s="50" t="s">
        <v>403</v>
      </c>
      <c r="B113" s="11" t="s">
        <v>407</v>
      </c>
      <c r="C113" s="27" t="s">
        <v>45</v>
      </c>
      <c r="D113" s="2" t="s">
        <v>428</v>
      </c>
      <c r="G113" s="3">
        <v>0.62</v>
      </c>
      <c r="I113" s="3">
        <v>60</v>
      </c>
    </row>
    <row r="114" spans="1:9" ht="15" x14ac:dyDescent="0.15">
      <c r="A114" s="50" t="s">
        <v>404</v>
      </c>
      <c r="B114" s="11" t="s">
        <v>408</v>
      </c>
      <c r="C114" s="27" t="s">
        <v>45</v>
      </c>
      <c r="D114" s="2" t="s">
        <v>427</v>
      </c>
      <c r="G114" s="3">
        <v>1</v>
      </c>
      <c r="I114" s="3">
        <v>60</v>
      </c>
    </row>
    <row r="115" spans="1:9" ht="15" x14ac:dyDescent="0.15">
      <c r="A115" s="27" t="s">
        <v>440</v>
      </c>
      <c r="B115" s="11" t="s">
        <v>441</v>
      </c>
      <c r="C115" s="27" t="s">
        <v>45</v>
      </c>
      <c r="D115" s="2" t="s">
        <v>443</v>
      </c>
      <c r="G115" s="3">
        <v>1</v>
      </c>
      <c r="I115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5"/>
  <sheetViews>
    <sheetView tabSelected="1" zoomScaleNormal="100" workbookViewId="0">
      <pane ySplit="3" topLeftCell="A88" activePane="bottomLeft" state="frozen"/>
      <selection activeCell="D1" sqref="D1"/>
      <selection pane="bottomLeft" activeCell="B120" sqref="B120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336</v>
      </c>
      <c r="M1" s="12" t="s">
        <v>338</v>
      </c>
      <c r="N1" s="12" t="s">
        <v>338</v>
      </c>
      <c r="O1" s="12" t="s">
        <v>338</v>
      </c>
      <c r="P1" s="12" t="s">
        <v>338</v>
      </c>
      <c r="Q1" s="12" t="s">
        <v>338</v>
      </c>
      <c r="R1" s="12" t="s">
        <v>338</v>
      </c>
      <c r="S1" s="12" t="s">
        <v>338</v>
      </c>
      <c r="T1" s="12" t="s">
        <v>338</v>
      </c>
      <c r="U1" s="12" t="s">
        <v>338</v>
      </c>
      <c r="V1" s="12" t="s">
        <v>338</v>
      </c>
      <c r="W1" s="12" t="s">
        <v>338</v>
      </c>
      <c r="X1" s="12" t="s">
        <v>338</v>
      </c>
      <c r="Y1" s="12" t="s">
        <v>338</v>
      </c>
      <c r="Z1" s="12" t="s">
        <v>338</v>
      </c>
      <c r="AA1" s="6" t="s">
        <v>337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330</v>
      </c>
      <c r="H2" s="13" t="s">
        <v>331</v>
      </c>
      <c r="I2" s="12" t="s">
        <v>199</v>
      </c>
      <c r="J2" s="44" t="s">
        <v>200</v>
      </c>
      <c r="K2" s="46" t="s">
        <v>439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340</v>
      </c>
      <c r="D3" s="1" t="s">
        <v>217</v>
      </c>
      <c r="E3" s="20" t="s">
        <v>196</v>
      </c>
      <c r="F3" s="7" t="s">
        <v>187</v>
      </c>
      <c r="G3" s="8" t="s">
        <v>332</v>
      </c>
      <c r="H3" s="8" t="s">
        <v>333</v>
      </c>
      <c r="I3" s="7" t="s">
        <v>188</v>
      </c>
      <c r="J3" s="45" t="s">
        <v>354</v>
      </c>
      <c r="K3" s="44" t="s">
        <v>437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436</v>
      </c>
      <c r="U3" s="8" t="s">
        <v>201</v>
      </c>
      <c r="V3" s="8" t="s">
        <v>229</v>
      </c>
      <c r="W3" s="38" t="s">
        <v>347</v>
      </c>
      <c r="X3" s="38" t="s">
        <v>348</v>
      </c>
      <c r="Y3" s="38" t="s">
        <v>334</v>
      </c>
      <c r="Z3" s="38" t="s">
        <v>335</v>
      </c>
    </row>
    <row r="4" spans="1:27" ht="15" x14ac:dyDescent="0.15">
      <c r="A4" s="27" t="s">
        <v>36</v>
      </c>
      <c r="B4" s="11" t="s">
        <v>326</v>
      </c>
      <c r="C4" s="12" t="s">
        <v>329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329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329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329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329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329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329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329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329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329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329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329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329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329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329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329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329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329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329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329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329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329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329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329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329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341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341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341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341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341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341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329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438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329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438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329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438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329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438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329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438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329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438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329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438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329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438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376</v>
      </c>
      <c r="B43" s="11" t="s">
        <v>145</v>
      </c>
      <c r="C43" s="12" t="s">
        <v>329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438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377</v>
      </c>
      <c r="B44" s="11" t="s">
        <v>146</v>
      </c>
      <c r="C44" s="12" t="s">
        <v>329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438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378</v>
      </c>
      <c r="B45" s="11" t="s">
        <v>147</v>
      </c>
      <c r="C45" s="12" t="s">
        <v>329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438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341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341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341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341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341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341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341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341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341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341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341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341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341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341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341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341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341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341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341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341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341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341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341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341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341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342</v>
      </c>
      <c r="B71" s="11" t="s">
        <v>173</v>
      </c>
      <c r="C71" s="12" t="s">
        <v>341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341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341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341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341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341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341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341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341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341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341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341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341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341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341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341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341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341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368</v>
      </c>
      <c r="B89" s="11" t="s">
        <v>220</v>
      </c>
      <c r="C89" s="12" t="s">
        <v>329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370</v>
      </c>
      <c r="B90" s="11" t="s">
        <v>221</v>
      </c>
      <c r="C90" s="12" t="s">
        <v>329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371</v>
      </c>
      <c r="B91" s="11" t="s">
        <v>222</v>
      </c>
      <c r="C91" s="12" t="s">
        <v>329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372</v>
      </c>
      <c r="B92" s="11" t="s">
        <v>223</v>
      </c>
      <c r="C92" s="12" t="s">
        <v>329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369</v>
      </c>
      <c r="B93" s="11" t="s">
        <v>224</v>
      </c>
      <c r="C93" s="12" t="s">
        <v>341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373</v>
      </c>
      <c r="B94" s="11" t="s">
        <v>225</v>
      </c>
      <c r="C94" s="12" t="s">
        <v>341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374</v>
      </c>
      <c r="B95" s="11" t="s">
        <v>226</v>
      </c>
      <c r="C95" s="12" t="s">
        <v>341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375</v>
      </c>
      <c r="B96" s="11" t="s">
        <v>227</v>
      </c>
      <c r="C96" s="12" t="s">
        <v>341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329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327</v>
      </c>
      <c r="B98" s="11" t="s">
        <v>328</v>
      </c>
      <c r="C98" s="12" t="s">
        <v>341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365</v>
      </c>
      <c r="B99" s="11" t="s">
        <v>366</v>
      </c>
      <c r="C99" s="12" t="s">
        <v>341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418</v>
      </c>
      <c r="B100" s="11" t="s">
        <v>379</v>
      </c>
      <c r="C100" s="12" t="s">
        <v>341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419</v>
      </c>
      <c r="B101" s="11" t="s">
        <v>380</v>
      </c>
      <c r="C101" s="12" t="s">
        <v>341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420</v>
      </c>
      <c r="B102" s="11" t="s">
        <v>381</v>
      </c>
      <c r="C102" s="12" t="s">
        <v>341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421</v>
      </c>
      <c r="B103" s="11" t="s">
        <v>382</v>
      </c>
      <c r="C103" s="12" t="s">
        <v>341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415</v>
      </c>
      <c r="B104" s="11" t="s">
        <v>383</v>
      </c>
      <c r="C104" s="12" t="s">
        <v>341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416</v>
      </c>
      <c r="B105" s="11" t="s">
        <v>384</v>
      </c>
      <c r="C105" s="12" t="s">
        <v>341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417</v>
      </c>
      <c r="B106" s="11" t="s">
        <v>385</v>
      </c>
      <c r="C106" s="12" t="s">
        <v>341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422</v>
      </c>
      <c r="B107" s="11" t="s">
        <v>386</v>
      </c>
      <c r="C107" s="12" t="s">
        <v>341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423</v>
      </c>
      <c r="B108" s="11" t="s">
        <v>387</v>
      </c>
      <c r="C108" s="12" t="s">
        <v>341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394</v>
      </c>
      <c r="B109" s="11" t="s">
        <v>395</v>
      </c>
      <c r="C109" s="12" t="s">
        <v>341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397</v>
      </c>
      <c r="B110" s="11" t="s">
        <v>398</v>
      </c>
      <c r="C110" s="12" t="s">
        <v>329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401</v>
      </c>
      <c r="B111" s="11" t="s">
        <v>405</v>
      </c>
      <c r="C111" s="12" t="s">
        <v>341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402</v>
      </c>
      <c r="B112" s="11" t="s">
        <v>406</v>
      </c>
      <c r="C112" s="12" t="s">
        <v>341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403</v>
      </c>
      <c r="B113" s="11" t="s">
        <v>407</v>
      </c>
      <c r="C113" s="12" t="s">
        <v>341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404</v>
      </c>
      <c r="B114" s="11" t="s">
        <v>408</v>
      </c>
      <c r="C114" s="12" t="s">
        <v>341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  <row r="115" spans="1:26" ht="15" x14ac:dyDescent="0.15">
      <c r="A115" s="27" t="s">
        <v>440</v>
      </c>
      <c r="B115" s="11" t="s">
        <v>441</v>
      </c>
      <c r="C115" s="12" t="s">
        <v>341</v>
      </c>
      <c r="E115" s="15"/>
      <c r="F115" s="33">
        <v>500</v>
      </c>
      <c r="G115" s="42"/>
      <c r="H115" s="42"/>
      <c r="I115" s="33">
        <v>500</v>
      </c>
      <c r="J115" s="49">
        <v>0.1</v>
      </c>
      <c r="K115" s="46"/>
      <c r="L115" s="34"/>
      <c r="M115" s="39">
        <f>M88*1.05</f>
        <v>3389867994.7764874</v>
      </c>
      <c r="N115" s="39">
        <f>N88*1.2</f>
        <v>34092.38669032351</v>
      </c>
      <c r="O115" s="39">
        <f>O88*1.05</f>
        <v>6779735989.5529747</v>
      </c>
      <c r="P115" s="39">
        <f t="shared" ref="P115:Q115" si="97">P87*1</f>
        <v>30000</v>
      </c>
      <c r="Q115" s="39">
        <f t="shared" si="97"/>
        <v>415</v>
      </c>
      <c r="R115" s="36">
        <v>0.75</v>
      </c>
      <c r="S115" s="39">
        <f t="shared" ref="S115:U115" si="98">S87*1</f>
        <v>20237.817600000002</v>
      </c>
      <c r="T115" s="35">
        <v>0</v>
      </c>
      <c r="U115" s="39">
        <f t="shared" si="98"/>
        <v>200</v>
      </c>
      <c r="V115" s="39">
        <v>550</v>
      </c>
      <c r="W115" s="42">
        <v>20</v>
      </c>
      <c r="X115" s="42">
        <v>18000</v>
      </c>
      <c r="Y115" s="42">
        <v>20</v>
      </c>
      <c r="Z115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33 N1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2019-07-30T14:10:11Z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