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04317D4-25F8-4B6B-951B-63C07F79DBEE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67" i="29" l="1"/>
  <c r="L68" i="29"/>
  <c r="L69" i="29"/>
  <c r="L70" i="29"/>
  <c r="L29" i="29" l="1"/>
  <c r="U100" i="29" l="1"/>
  <c r="X99" i="29" l="1"/>
  <c r="U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L49" i="29"/>
  <c r="L51" i="29" s="1"/>
  <c r="L52" i="29" s="1"/>
  <c r="L53" i="29" s="1"/>
  <c r="N54" i="29" l="1"/>
  <c r="N72" i="29" s="1"/>
  <c r="N79" i="29"/>
  <c r="L54" i="29"/>
  <c r="L55" i="29" s="1"/>
  <c r="L80" i="29" s="1"/>
  <c r="L79" i="29"/>
  <c r="L5" i="29"/>
  <c r="N5" i="29" s="1"/>
  <c r="N37" i="29" s="1"/>
  <c r="N55" i="29" l="1"/>
  <c r="N80" i="29" s="1"/>
  <c r="L72" i="29"/>
  <c r="L37" i="29"/>
  <c r="N56" i="29"/>
  <c r="N57" i="29" s="1"/>
  <c r="N81" i="29" s="1"/>
  <c r="N93" i="29" s="1"/>
  <c r="N89" i="29" s="1"/>
  <c r="N76" i="29"/>
  <c r="L76" i="29"/>
  <c r="L56" i="29"/>
  <c r="L57" i="29" s="1"/>
  <c r="L81" i="29" s="1"/>
  <c r="L93" i="29" s="1"/>
  <c r="L89" i="29" s="1"/>
  <c r="N47" i="29"/>
  <c r="L47" i="29"/>
  <c r="L58" i="29" l="1"/>
  <c r="L59" i="29" s="1"/>
  <c r="L82" i="29" s="1"/>
  <c r="L100" i="29" s="1"/>
  <c r="N58" i="29"/>
  <c r="N59" i="29" s="1"/>
  <c r="N82" i="29" s="1"/>
  <c r="N100" i="29" s="1"/>
  <c r="N6" i="29"/>
  <c r="N7" i="29" s="1"/>
  <c r="N9" i="29" s="1"/>
  <c r="N10" i="29" s="1"/>
  <c r="N11" i="29" s="1"/>
  <c r="N12" i="29" s="1"/>
  <c r="N13" i="29" s="1"/>
  <c r="L6" i="29"/>
  <c r="L60" i="29" l="1"/>
  <c r="L61" i="29" s="1"/>
  <c r="L83" i="29" s="1"/>
  <c r="L94" i="29" s="1"/>
  <c r="L90" i="29" s="1"/>
  <c r="N30" i="29"/>
  <c r="N14" i="29"/>
  <c r="N15" i="29" s="1"/>
  <c r="N16" i="29" s="1"/>
  <c r="N17" i="29" s="1"/>
  <c r="N18" i="29" s="1"/>
  <c r="N60" i="29"/>
  <c r="N61" i="29" s="1"/>
  <c r="N83" i="29" s="1"/>
  <c r="N94" i="29" s="1"/>
  <c r="N90" i="29" s="1"/>
  <c r="L7" i="29"/>
  <c r="L9" i="29" s="1"/>
  <c r="L10" i="29" s="1"/>
  <c r="L11" i="29" s="1"/>
  <c r="L12" i="29" s="1"/>
  <c r="L13" i="29" s="1"/>
  <c r="X98" i="29"/>
  <c r="U98" i="29"/>
  <c r="Q98" i="29"/>
  <c r="P98" i="29"/>
  <c r="O98" i="29"/>
  <c r="X97" i="29"/>
  <c r="U97" i="29"/>
  <c r="T97" i="29"/>
  <c r="Q97" i="29"/>
  <c r="P97" i="29"/>
  <c r="O97" i="29"/>
  <c r="X94" i="29"/>
  <c r="X93" i="29"/>
  <c r="Q92" i="29"/>
  <c r="X91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P92" i="29" s="1"/>
  <c r="O69" i="29"/>
  <c r="O92" i="29" s="1"/>
  <c r="U68" i="29"/>
  <c r="T68" i="29"/>
  <c r="P68" i="29"/>
  <c r="O68" i="29"/>
  <c r="U67" i="29"/>
  <c r="T67" i="29"/>
  <c r="P67" i="29"/>
  <c r="O67" i="29"/>
  <c r="U66" i="29"/>
  <c r="T66" i="29"/>
  <c r="P66" i="29"/>
  <c r="O66" i="29"/>
  <c r="U65" i="29"/>
  <c r="U95" i="29" s="1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T60" i="29"/>
  <c r="T88" i="29" s="1"/>
  <c r="P60" i="29"/>
  <c r="P7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O82" i="29" s="1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P52" i="29"/>
  <c r="P80" i="29" s="1"/>
  <c r="O52" i="29"/>
  <c r="O80" i="29" s="1"/>
  <c r="U51" i="29"/>
  <c r="T51" i="29"/>
  <c r="T72" i="29" s="1"/>
  <c r="T100" i="29" s="1"/>
  <c r="P51" i="29"/>
  <c r="P72" i="29" s="1"/>
  <c r="P100" i="29" s="1"/>
  <c r="O51" i="29"/>
  <c r="O72" i="29" s="1"/>
  <c r="O100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X45" i="29"/>
  <c r="U45" i="29"/>
  <c r="T45" i="29"/>
  <c r="Q45" i="29"/>
  <c r="P45" i="29"/>
  <c r="O45" i="29"/>
  <c r="X44" i="29"/>
  <c r="U44" i="29"/>
  <c r="T44" i="29"/>
  <c r="Q44" i="29"/>
  <c r="P44" i="29"/>
  <c r="O44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69" i="29" s="1"/>
  <c r="S92" i="29" s="1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57" i="29" s="1"/>
  <c r="S93" i="29" s="1"/>
  <c r="S14" i="29"/>
  <c r="S56" i="29" s="1"/>
  <c r="S84" i="29" s="1"/>
  <c r="S13" i="29"/>
  <c r="S55" i="29" s="1"/>
  <c r="R30" i="29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100" i="29" s="1"/>
  <c r="S8" i="29"/>
  <c r="S37" i="29" s="1"/>
  <c r="S7" i="29"/>
  <c r="S49" i="29" s="1"/>
  <c r="S75" i="29" s="1"/>
  <c r="S6" i="29"/>
  <c r="S48" i="29" s="1"/>
  <c r="S71" i="29" s="1"/>
  <c r="S5" i="29"/>
  <c r="S4" i="29"/>
  <c r="S35" i="29" s="1"/>
  <c r="N4" i="29"/>
  <c r="U88" i="29" l="1"/>
  <c r="U92" i="29"/>
  <c r="S44" i="29"/>
  <c r="P96" i="29"/>
  <c r="S52" i="29"/>
  <c r="S80" i="29" s="1"/>
  <c r="T83" i="29"/>
  <c r="L14" i="29"/>
  <c r="L15" i="29" s="1"/>
  <c r="L16" i="29" s="1"/>
  <c r="L17" i="29" s="1"/>
  <c r="L18" i="29" s="1"/>
  <c r="L30" i="29"/>
  <c r="S47" i="29"/>
  <c r="S99" i="29"/>
  <c r="U90" i="29"/>
  <c r="P77" i="29"/>
  <c r="R18" i="29"/>
  <c r="R60" i="29" s="1"/>
  <c r="R88" i="29" s="1"/>
  <c r="N31" i="29"/>
  <c r="R31" i="29" s="1"/>
  <c r="S40" i="29"/>
  <c r="T77" i="29"/>
  <c r="T73" i="29"/>
  <c r="S39" i="29"/>
  <c r="U86" i="29"/>
  <c r="R16" i="29"/>
  <c r="R41" i="29" s="1"/>
  <c r="O74" i="29"/>
  <c r="S85" i="29"/>
  <c r="N62" i="29"/>
  <c r="N63" i="29" s="1"/>
  <c r="N84" i="29" s="1"/>
  <c r="N73" i="29"/>
  <c r="O96" i="29"/>
  <c r="L73" i="29"/>
  <c r="L62" i="29"/>
  <c r="L63" i="29" s="1"/>
  <c r="L84" i="29" s="1"/>
  <c r="N19" i="29"/>
  <c r="N20" i="29" s="1"/>
  <c r="U89" i="29"/>
  <c r="U93" i="29"/>
  <c r="R4" i="29"/>
  <c r="R35" i="29" s="1"/>
  <c r="R29" i="29"/>
  <c r="R6" i="29"/>
  <c r="R48" i="29" s="1"/>
  <c r="R71" i="29" s="1"/>
  <c r="T85" i="29"/>
  <c r="R52" i="29"/>
  <c r="R80" i="29" s="1"/>
  <c r="R38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S46" i="29"/>
  <c r="S96" i="29"/>
  <c r="S97" i="29"/>
  <c r="R15" i="29"/>
  <c r="R57" i="29" s="1"/>
  <c r="S36" i="29"/>
  <c r="T74" i="29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74" i="29"/>
  <c r="R9" i="29"/>
  <c r="R51" i="29" s="1"/>
  <c r="R72" i="29" s="1"/>
  <c r="R100" i="29" s="1"/>
  <c r="R14" i="29"/>
  <c r="S43" i="29"/>
  <c r="R7" i="29"/>
  <c r="R49" i="29" s="1"/>
  <c r="R75" i="29" s="1"/>
  <c r="R17" i="29"/>
  <c r="R59" i="29" s="1"/>
  <c r="S58" i="29"/>
  <c r="P90" i="29"/>
  <c r="U73" i="29"/>
  <c r="R58" i="29" l="1"/>
  <c r="R42" i="29"/>
  <c r="R47" i="29"/>
  <c r="R99" i="29"/>
  <c r="R97" i="29"/>
  <c r="R19" i="29"/>
  <c r="R61" i="29" s="1"/>
  <c r="R94" i="29" s="1"/>
  <c r="L19" i="29"/>
  <c r="L20" i="29" s="1"/>
  <c r="L21" i="29" s="1"/>
  <c r="L22" i="29" s="1"/>
  <c r="L23" i="29" s="1"/>
  <c r="L31" i="29"/>
  <c r="N21" i="29"/>
  <c r="R20" i="29"/>
  <c r="R62" i="29" s="1"/>
  <c r="L64" i="29"/>
  <c r="L65" i="29" s="1"/>
  <c r="L85" i="29" s="1"/>
  <c r="L77" i="29"/>
  <c r="N64" i="29"/>
  <c r="N65" i="29" s="1"/>
  <c r="N8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95" i="29" l="1"/>
  <c r="N91" i="29" s="1"/>
  <c r="N86" i="29"/>
  <c r="N87" i="29" s="1"/>
  <c r="L24" i="29"/>
  <c r="L32" i="29"/>
  <c r="L33" i="29" s="1"/>
  <c r="L34" i="29" s="1"/>
  <c r="L95" i="29"/>
  <c r="L91" i="29" s="1"/>
  <c r="L86" i="29"/>
  <c r="L87" i="29" s="1"/>
  <c r="L74" i="29"/>
  <c r="L78" i="29"/>
  <c r="N78" i="29"/>
  <c r="N74" i="29"/>
  <c r="N22" i="29"/>
  <c r="R21" i="29"/>
  <c r="R63" i="29" s="1"/>
  <c r="R91" i="29" s="1"/>
  <c r="R81" i="29"/>
  <c r="R39" i="29"/>
  <c r="L88" i="29" l="1"/>
  <c r="L96" i="29"/>
  <c r="L25" i="29"/>
  <c r="L66" i="29"/>
  <c r="N88" i="29"/>
  <c r="N96" i="29"/>
  <c r="N23" i="29"/>
  <c r="R22" i="29"/>
  <c r="R64" i="29" s="1"/>
  <c r="R78" i="29" s="1"/>
  <c r="N109" i="29" l="1"/>
  <c r="N92" i="29"/>
  <c r="L26" i="29"/>
  <c r="L109" i="29"/>
  <c r="L92" i="29"/>
  <c r="N32" i="29"/>
  <c r="R32" i="29" s="1"/>
  <c r="N24" i="29"/>
  <c r="R23" i="29"/>
  <c r="L27" i="29" l="1"/>
  <c r="R65" i="29"/>
  <c r="R95" i="29" s="1"/>
  <c r="R45" i="29"/>
  <c r="N25" i="29"/>
  <c r="R24" i="29"/>
  <c r="R66" i="29" s="1"/>
  <c r="N66" i="29"/>
  <c r="L28" i="29" l="1"/>
  <c r="N26" i="29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<sst xmlns="http://schemas.openxmlformats.org/spreadsheetml/2006/main" count="830" uniqueCount="428">
  <si>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</si>
  <si>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</si>
  <si>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</si>
  <si>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</si>
  <si>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</si>
  <si>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</si>
  <si>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</si>
  <si>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</si>
  <si>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</si>
  <si>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</si>
  <si>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</si>
  <si>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</si>
  <si>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</si>
  <si>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</si>
  <si>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</si>
  <si>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</si>
  <si>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</si>
  <si>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</si>
  <si>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</si>
  <si>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</si>
  <si>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</si>
  <si>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</si>
  <si>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</si>
  <si>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</si>
  <si>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</si>
  <si>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</si>
  <si>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</si>
  <si>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</si>
  <si>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</si>
  <si>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</si>
  <si>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</si>
  <si>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</si>
  <si>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</si>
  <si>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</si>
  <si>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</si>
  <si>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</si>
  <si>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</si>
  <si>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</si>
  <si>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</si>
  <si>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</si>
  <si>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</si>
  <si>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</si>
  <si>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</si>
  <si>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</si>
  <si>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</si>
  <si>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</si>
  <si>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</si>
  <si>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</si>
  <si>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</si>
  <si>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</si>
  <si>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</si>
  <si>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</si>
  <si>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</si>
  <si>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</si>
  <si>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</si>
  <si>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</si>
  <si>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</si>
  <si>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</si>
  <si>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</si>
  <si>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</si>
  <si>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</si>
  <si>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</si>
  <si>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</si>
  <si>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</si>
  <si>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</si>
  <si>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</si>
  <si>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</si>
  <si>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</si>
  <si>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</si>
  <si>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</si>
  <si>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</si>
  <si>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</si>
  <si>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</si>
  <si>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</si>
  <si>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</si>
  <si>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</si>
  <si>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</si>
  <si>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</si>
  <si>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</si>
  <si>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</si>
  <si>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</si>
  <si>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</si>
  <si>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</si>
  <si>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</si>
  <si>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</si>
  <si>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</si>
  <si>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</si>
  <si>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</si>
  <si>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</si>
  <si>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</si>
  <si>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</si>
  <si>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</si>
  <si>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</si>
  <si>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</si>
  <si>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</si>
  <si>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</si>
  <si>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</si>
  <si>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</si>
  <si>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</si>
  <si>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</si>
  <si>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</si>
  <si>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</si>
  <si>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</si>
  <si>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</si>
  <si>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</si>
  <si>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</si>
  <si>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</si>
  <si>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</si>
  <si>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</si>
  <si>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</si>
  <si>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</si>
  <si>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</si>
  <si>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</si>
  <si>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</si>
  <si>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</si>
  <si>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</si>
  <si>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</si>
  <si>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</si>
  <si>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</si>
  <si>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</si>
  <si>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</si>
  <si>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</si>
  <si>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</si>
  <si>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</si>
  <si>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</si>
  <si>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</si>
  <si>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</si>
  <si>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</si>
  <si>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</si>
  <si>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</si>
  <si>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</si>
  <si>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</si>
  <si>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</si>
  <si>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</si>
  <si>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</si>
  <si>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</si>
  <si>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</si>
  <si>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</si>
  <si>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</si>
  <si>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</si>
  <si>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</si>
  <si>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</si>
  <si>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</si>
  <si>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</si>
  <si>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</si>
  <si>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</si>
  <si>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</si>
  <si>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</si>
  <si>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</si>
  <si>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</si>
  <si>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</si>
  <si>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</si>
  <si>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</si>
  <si>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</si>
  <si>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</si>
  <si>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</si>
  <si>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</si>
  <si>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</si>
  <si>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</si>
  <si>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</si>
  <si>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</si>
  <si>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</si>
  <si>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</si>
  <si>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</si>
  <si>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</si>
  <si>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</si>
  <si>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</si>
  <si>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</si>
  <si>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</si>
  <si>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</si>
  <si>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</si>
  <si>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</si>
  <si>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</si>
  <si>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</si>
  <si>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</si>
  <si>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</si>
  <si>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</si>
  <si>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</si>
  <si>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</si>
  <si>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</si>
  <si>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</si>
  <si>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</si>
  <si>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</si>
  <si>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</si>
  <si>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</si>
  <si>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</si>
  <si>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</si>
  <si>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</si>
  <si>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</si>
  <si>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</si>
  <si>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</si>
  <si>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</si>
  <si>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</si>
  <si>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</si>
  <si>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</si>
  <si>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</si>
  <si>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</si>
  <si>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</si>
  <si>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</si>
  <si>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</si>
  <si>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</si>
  <si>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</si>
  <si>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</si>
  <si>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</si>
  <si>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</si>
  <si>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</si>
  <si>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</si>
  <si>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</si>
  <si>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</si>
  <si>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</si>
  <si>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</si>
  <si>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</si>
  <si>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</si>
  <si>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</si>
  <si>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</si>
  <si>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</si>
  <si>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</si>
  <si>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</si>
  <si>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</si>
  <si>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</si>
  <si>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</si>
  <si>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</si>
  <si>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</si>
  <si>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</si>
  <si>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</si>
  <si>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</si>
  <si>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</si>
  <si>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</si>
  <si>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</si>
  <si>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</si>
  <si>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</si>
  <si>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</si>
  <si>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</si>
  <si>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</si>
  <si>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</si>
  <si>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</si>
  <si>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</si>
  <si>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</si>
  <si>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</si>
  <si>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</si>
  <si>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</si>
  <si>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</si>
  <si>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</si>
  <si>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</si>
  <si>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</si>
  <si>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</si>
  <si>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</si>
  <si>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</si>
  <si>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</si>
  <si>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</si>
  <si>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</si>
  <si>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</si>
  <si>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</si>
  <si>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</si>
  <si>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</si>
  <si>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</si>
  <si>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</si>
  <si>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</si>
  <si>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</si>
  <si>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</si>
  <si>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</si>
  <si>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</si>
  <si>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</si>
  <si>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</si>
  <si>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</si>
  <si>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</si>
  <si>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</si>
  <si>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</si>
  <si>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</si>
  <si>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</si>
  <si>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</si>
  <si>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</si>
  <si>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</si>
  <si>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</si>
  <si>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</si>
  <si>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</si>
  <si>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</si>
  <si>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</si>
  <si>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</si>
  <si>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</si>
  <si>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</si>
  <si>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</si>
  <si>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</si>
  <si>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</si>
  <si>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</si>
  <si>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</si>
  <si>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</si>
  <si>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</si>
  <si>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</si>
  <si>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</si>
  <si>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</si>
  <si>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</si>
  <si>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</si>
  <si>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</si>
  <si>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</si>
  <si>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</si>
  <si>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</si>
  <si>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</si>
  <si>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</si>
  <si>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</si>
  <si>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</si>
  <si>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</si>
  <si>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</si>
  <si>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</si>
  <si>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</si>
  <si>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</si>
  <si>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</si>
  <si>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</si>
  <si>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</si>
  <si>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</si>
  <si>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</si>
  <si>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</si>
  <si>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</si>
  <si>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</si>
  <si>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</si>
  <si>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</si>
  <si>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</si>
  <si>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</si>
  <si>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</si>
  <si>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</si>
  <si>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</si>
  <si>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</si>
  <si>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</si>
  <si>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</si>
  <si>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</si>
  <si>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</si>
  <si>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</si>
  <si>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</si>
  <si>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</si>
  <si>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</si>
  <si>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</si>
  <si>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</si>
  <si>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</si>
  <si>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</si>
  <si>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</si>
  <si>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</si>
  <si>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</si>
  <si>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</si>
  <si>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</si>
  <si>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</si>
  <si>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</si>
  <si>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</si>
  <si>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</si>
  <si>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</si>
  <si>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</si>
  <si>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</si>
  <si>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</si>
  <si>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</si>
  <si>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</si>
  <si>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</si>
  <si>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</si>
  <si>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</si>
  <si>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</si>
  <si>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</si>
  <si>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</si>
  <si>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</si>
  <si>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</si>
  <si>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</si>
  <si>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</si>
  <si>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</si>
  <si>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</si>
  <si>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</si>
  <si>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</si>
  <si>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</si>
  <si>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</si>
  <si>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</si>
  <si>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</si>
  <si>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</si>
  <si>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</si>
  <si>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</si>
  <si>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</si>
  <si>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</si>
  <si>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</si>
  <si>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</si>
  <si>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</si>
  <si>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</si>
  <si>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</si>
  <si>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</si>
  <si>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</si>
  <si>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</si>
  <si>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</si>
  <si>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</si>
  <si>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</si>
  <si>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</si>
  <si>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</si>
  <si>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</si>
  <si>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</si>
  <si>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</si>
  <si>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</si>
  <si>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</si>
  <si>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</si>
  <si>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</si>
  <si>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</si>
  <si>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</si>
  <si>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</si>
  <si>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</si>
  <si>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</si>
  <si>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</si>
  <si>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Pa</t>
  </si>
  <si>
    <t>小龙女</t>
  </si>
  <si>
    <t>关羽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</si>
  <si>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</si>
  <si>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</si>
  <si>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</si>
  <si>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</si>
  <si>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</si>
  <si>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</si>
  <si>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</si>
  <si>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</si>
  <si>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</si>
  <si>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</si>
  <si>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</si>
  <si>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</si>
  <si>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</si>
  <si>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</si>
  <si>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</si>
  <si>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</si>
  <si>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WKZ_XiaoBaiLong.mdx</t>
  </si>
  <si>
    <t>guanyu.mdx</t>
  </si>
  <si>
    <t>剑圣+梦蝶仙翼</t>
  </si>
  <si>
    <t>剑圣+霸王莲龙锤</t>
    <phoneticPr fontId="6" type="noConversion"/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</si>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</sst>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7" sqref="G27"/>
    </sheetView>
  </sheetViews>
  <sheetFormatPr defaultColWidth="9" defaultRowHeight="13.5" x14ac:dyDescent="0.15"/>
  <cols>
    <col min="1" max="1" width="17.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361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341</v>
      </c>
      <c r="C4" s="28" t="s">
        <v>338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339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359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358</v>
      </c>
      <c r="B34" s="11" t="s">
        <v>136</v>
      </c>
      <c r="C34" s="27" t="s">
        <v>364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364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257</v>
      </c>
      <c r="B43" s="11" t="s">
        <v>360</v>
      </c>
      <c r="C43" s="27" t="s">
        <v>340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258</v>
      </c>
      <c r="B44" s="11" t="s">
        <v>146</v>
      </c>
      <c r="C44" s="27" t="s">
        <v>340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259</v>
      </c>
      <c r="B45" s="11" t="s">
        <v>147</v>
      </c>
      <c r="C45" s="27" t="s">
        <v>340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260</v>
      </c>
      <c r="B46" s="11" t="s">
        <v>148</v>
      </c>
      <c r="C46" s="27" t="s">
        <v>45</v>
      </c>
      <c r="D46" s="3" t="s">
        <v>300</v>
      </c>
      <c r="F46" s="2"/>
      <c r="G46" s="3">
        <v>1.5</v>
      </c>
      <c r="I46" s="3">
        <v>60</v>
      </c>
    </row>
    <row r="47" spans="1:9" ht="15" x14ac:dyDescent="0.15">
      <c r="A47" s="27" t="s">
        <v>261</v>
      </c>
      <c r="B47" s="11" t="s">
        <v>149</v>
      </c>
      <c r="C47" s="27" t="s">
        <v>45</v>
      </c>
      <c r="D47" s="3" t="s">
        <v>301</v>
      </c>
      <c r="F47" s="2"/>
      <c r="G47" s="3">
        <v>2</v>
      </c>
      <c r="I47" s="3">
        <v>60</v>
      </c>
    </row>
    <row r="48" spans="1:9" ht="15" x14ac:dyDescent="0.15">
      <c r="A48" s="27" t="s">
        <v>262</v>
      </c>
      <c r="B48" s="11" t="s">
        <v>150</v>
      </c>
      <c r="C48" s="27" t="s">
        <v>45</v>
      </c>
      <c r="D48" s="3" t="s">
        <v>302</v>
      </c>
      <c r="F48" s="2"/>
      <c r="G48" s="3">
        <v>0.6</v>
      </c>
      <c r="I48" s="3">
        <v>60</v>
      </c>
    </row>
    <row r="49" spans="1:9" ht="15" x14ac:dyDescent="0.15">
      <c r="A49" s="27" t="s">
        <v>263</v>
      </c>
      <c r="B49" s="11" t="s">
        <v>151</v>
      </c>
      <c r="C49" s="27" t="s">
        <v>45</v>
      </c>
      <c r="D49" s="3" t="s">
        <v>303</v>
      </c>
      <c r="F49" s="2"/>
      <c r="G49" s="3">
        <v>2.2999999999999998</v>
      </c>
      <c r="I49" s="3">
        <v>60</v>
      </c>
    </row>
    <row r="50" spans="1:9" ht="15" x14ac:dyDescent="0.15">
      <c r="A50" s="27" t="s">
        <v>264</v>
      </c>
      <c r="B50" s="11" t="s">
        <v>152</v>
      </c>
      <c r="C50" s="27" t="s">
        <v>45</v>
      </c>
      <c r="D50" s="3" t="s">
        <v>304</v>
      </c>
      <c r="F50" s="2"/>
      <c r="G50" s="3">
        <v>0.6</v>
      </c>
      <c r="I50" s="3">
        <v>60</v>
      </c>
    </row>
    <row r="51" spans="1:9" ht="15" x14ac:dyDescent="0.15">
      <c r="A51" s="27" t="s">
        <v>265</v>
      </c>
      <c r="B51" s="11" t="s">
        <v>153</v>
      </c>
      <c r="C51" s="27" t="s">
        <v>45</v>
      </c>
      <c r="D51" s="3" t="s">
        <v>305</v>
      </c>
      <c r="F51" s="2"/>
      <c r="G51" s="3">
        <v>2.5</v>
      </c>
      <c r="I51" s="3">
        <v>60</v>
      </c>
    </row>
    <row r="52" spans="1:9" ht="15" x14ac:dyDescent="0.15">
      <c r="A52" s="27" t="s">
        <v>266</v>
      </c>
      <c r="B52" s="11" t="s">
        <v>154</v>
      </c>
      <c r="C52" s="27" t="s">
        <v>45</v>
      </c>
      <c r="D52" s="3" t="s">
        <v>306</v>
      </c>
      <c r="F52" s="2"/>
      <c r="G52" s="3">
        <v>2</v>
      </c>
      <c r="I52" s="3">
        <v>60</v>
      </c>
    </row>
    <row r="53" spans="1:9" ht="15" x14ac:dyDescent="0.15">
      <c r="A53" s="27" t="s">
        <v>267</v>
      </c>
      <c r="B53" s="11" t="s">
        <v>155</v>
      </c>
      <c r="C53" s="27" t="s">
        <v>45</v>
      </c>
      <c r="D53" s="3" t="s">
        <v>307</v>
      </c>
      <c r="F53" s="2"/>
      <c r="G53" s="3">
        <v>1.8</v>
      </c>
      <c r="I53" s="3">
        <v>60</v>
      </c>
    </row>
    <row r="54" spans="1:9" ht="15" x14ac:dyDescent="0.15">
      <c r="A54" s="27" t="s">
        <v>268</v>
      </c>
      <c r="B54" s="11" t="s">
        <v>156</v>
      </c>
      <c r="C54" s="27" t="s">
        <v>45</v>
      </c>
      <c r="D54" s="3" t="s">
        <v>308</v>
      </c>
      <c r="F54" s="2"/>
      <c r="G54" s="3">
        <v>1.4</v>
      </c>
      <c r="I54" s="3">
        <v>60</v>
      </c>
    </row>
    <row r="55" spans="1:9" ht="15" x14ac:dyDescent="0.15">
      <c r="A55" s="27" t="s">
        <v>269</v>
      </c>
      <c r="B55" s="11" t="s">
        <v>157</v>
      </c>
      <c r="C55" s="27" t="s">
        <v>45</v>
      </c>
      <c r="D55" s="3" t="s">
        <v>309</v>
      </c>
      <c r="F55" s="2"/>
      <c r="G55" s="3">
        <v>1.5</v>
      </c>
      <c r="I55" s="3">
        <v>60</v>
      </c>
    </row>
    <row r="56" spans="1:9" ht="15" x14ac:dyDescent="0.15">
      <c r="A56" s="27" t="s">
        <v>270</v>
      </c>
      <c r="B56" s="11" t="s">
        <v>158</v>
      </c>
      <c r="C56" s="27" t="s">
        <v>45</v>
      </c>
      <c r="D56" s="3" t="s">
        <v>310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271</v>
      </c>
      <c r="B57" s="11" t="s">
        <v>159</v>
      </c>
      <c r="C57" s="27" t="s">
        <v>45</v>
      </c>
      <c r="D57" s="3" t="s">
        <v>311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272</v>
      </c>
      <c r="B58" s="11" t="s">
        <v>160</v>
      </c>
      <c r="C58" s="27" t="s">
        <v>365</v>
      </c>
      <c r="D58" s="3" t="s">
        <v>312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273</v>
      </c>
      <c r="B59" s="11" t="s">
        <v>161</v>
      </c>
      <c r="C59" s="27" t="s">
        <v>45</v>
      </c>
      <c r="D59" s="3" t="s">
        <v>313</v>
      </c>
      <c r="F59" s="2"/>
      <c r="G59" s="3">
        <v>1.5</v>
      </c>
      <c r="I59" s="3">
        <v>60</v>
      </c>
    </row>
    <row r="60" spans="1:9" ht="15" x14ac:dyDescent="0.15">
      <c r="A60" s="27" t="s">
        <v>274</v>
      </c>
      <c r="B60" s="11" t="s">
        <v>162</v>
      </c>
      <c r="C60" s="27" t="s">
        <v>45</v>
      </c>
      <c r="D60" s="3" t="s">
        <v>366</v>
      </c>
      <c r="F60" s="2"/>
      <c r="G60" s="3">
        <v>1.6</v>
      </c>
      <c r="I60" s="3">
        <v>60</v>
      </c>
    </row>
    <row r="61" spans="1:9" ht="15" x14ac:dyDescent="0.15">
      <c r="A61" s="27" t="s">
        <v>275</v>
      </c>
      <c r="B61" s="11" t="s">
        <v>163</v>
      </c>
      <c r="C61" s="27" t="s">
        <v>45</v>
      </c>
      <c r="D61" s="3" t="s">
        <v>367</v>
      </c>
      <c r="F61" s="2"/>
      <c r="G61" s="3">
        <v>2.2000000000000002</v>
      </c>
      <c r="I61" s="3">
        <v>60</v>
      </c>
    </row>
    <row r="62" spans="1:9" ht="15" x14ac:dyDescent="0.15">
      <c r="A62" s="27" t="s">
        <v>276</v>
      </c>
      <c r="B62" s="11" t="s">
        <v>164</v>
      </c>
      <c r="C62" s="27" t="s">
        <v>365</v>
      </c>
      <c r="D62" s="3" t="s">
        <v>314</v>
      </c>
      <c r="F62" s="2"/>
      <c r="G62" s="3">
        <v>1.1000000000000001</v>
      </c>
      <c r="I62" s="3">
        <v>60</v>
      </c>
    </row>
    <row r="63" spans="1:9" ht="15" x14ac:dyDescent="0.15">
      <c r="A63" s="27" t="s">
        <v>277</v>
      </c>
      <c r="B63" s="11" t="s">
        <v>165</v>
      </c>
      <c r="C63" s="27" t="s">
        <v>45</v>
      </c>
      <c r="D63" s="3" t="s">
        <v>315</v>
      </c>
      <c r="F63" s="2"/>
      <c r="G63" s="3">
        <v>0.5</v>
      </c>
      <c r="I63" s="3">
        <v>60</v>
      </c>
    </row>
    <row r="64" spans="1:9" ht="15" x14ac:dyDescent="0.15">
      <c r="A64" s="27" t="s">
        <v>278</v>
      </c>
      <c r="B64" s="11" t="s">
        <v>166</v>
      </c>
      <c r="C64" s="27" t="s">
        <v>45</v>
      </c>
      <c r="D64" s="3" t="s">
        <v>316</v>
      </c>
      <c r="F64" s="2"/>
      <c r="G64" s="3">
        <v>0.5</v>
      </c>
      <c r="I64" s="3">
        <v>60</v>
      </c>
    </row>
    <row r="65" spans="1:9" ht="15" x14ac:dyDescent="0.15">
      <c r="A65" s="27" t="s">
        <v>279</v>
      </c>
      <c r="B65" s="11" t="s">
        <v>167</v>
      </c>
      <c r="C65" s="27" t="s">
        <v>45</v>
      </c>
      <c r="D65" s="3" t="s">
        <v>317</v>
      </c>
      <c r="F65" s="2"/>
      <c r="G65" s="3">
        <v>2</v>
      </c>
      <c r="I65" s="3">
        <v>60</v>
      </c>
    </row>
    <row r="66" spans="1:9" ht="15" x14ac:dyDescent="0.15">
      <c r="A66" s="27" t="s">
        <v>280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280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280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280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280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281</v>
      </c>
      <c r="B71" s="11" t="s">
        <v>173</v>
      </c>
      <c r="C71" s="27" t="s">
        <v>45</v>
      </c>
      <c r="D71" s="3" t="s">
        <v>318</v>
      </c>
      <c r="F71" s="2"/>
      <c r="G71" s="3">
        <v>1.3</v>
      </c>
      <c r="I71" s="3">
        <v>60</v>
      </c>
    </row>
    <row r="72" spans="1:9" ht="15" x14ac:dyDescent="0.15">
      <c r="A72" s="27" t="s">
        <v>282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283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284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285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286</v>
      </c>
      <c r="B76" s="11" t="s">
        <v>178</v>
      </c>
      <c r="C76" s="27" t="s">
        <v>45</v>
      </c>
      <c r="D76" s="3" t="s">
        <v>319</v>
      </c>
      <c r="F76" s="2"/>
      <c r="G76" s="3">
        <v>0.4</v>
      </c>
      <c r="I76" s="3">
        <v>60</v>
      </c>
    </row>
    <row r="77" spans="1:9" ht="15" x14ac:dyDescent="0.15">
      <c r="A77" s="27" t="s">
        <v>287</v>
      </c>
      <c r="B77" s="11" t="s">
        <v>179</v>
      </c>
      <c r="C77" s="27" t="s">
        <v>45</v>
      </c>
      <c r="D77" s="3" t="s">
        <v>320</v>
      </c>
      <c r="F77" s="2"/>
      <c r="G77" s="3">
        <v>2</v>
      </c>
      <c r="I77" s="3">
        <v>60</v>
      </c>
    </row>
    <row r="78" spans="1:9" ht="15" x14ac:dyDescent="0.15">
      <c r="A78" s="27" t="s">
        <v>288</v>
      </c>
      <c r="B78" s="11" t="s">
        <v>180</v>
      </c>
      <c r="C78" s="27" t="s">
        <v>45</v>
      </c>
      <c r="D78" s="3" t="s">
        <v>321</v>
      </c>
      <c r="F78" s="2"/>
      <c r="G78" s="3">
        <v>2.5</v>
      </c>
      <c r="I78" s="3">
        <v>60</v>
      </c>
    </row>
    <row r="79" spans="1:9" ht="15" x14ac:dyDescent="0.15">
      <c r="A79" s="27" t="s">
        <v>289</v>
      </c>
      <c r="B79" s="11" t="s">
        <v>181</v>
      </c>
      <c r="C79" s="27" t="s">
        <v>45</v>
      </c>
      <c r="D79" s="3" t="s">
        <v>371</v>
      </c>
      <c r="F79" s="2"/>
      <c r="G79" s="3">
        <v>2.2000000000000002</v>
      </c>
      <c r="I79" s="3">
        <v>60</v>
      </c>
    </row>
    <row r="80" spans="1:9" ht="15" x14ac:dyDescent="0.15">
      <c r="A80" s="27" t="s">
        <v>290</v>
      </c>
      <c r="B80" s="11" t="s">
        <v>182</v>
      </c>
      <c r="C80" s="27" t="s">
        <v>45</v>
      </c>
      <c r="D80" s="3" t="s">
        <v>322</v>
      </c>
      <c r="F80" s="2"/>
      <c r="G80" s="3">
        <v>1</v>
      </c>
      <c r="I80" s="3">
        <v>60</v>
      </c>
    </row>
    <row r="81" spans="1:9" ht="15" x14ac:dyDescent="0.15">
      <c r="A81" s="27" t="s">
        <v>291</v>
      </c>
      <c r="B81" s="11" t="s">
        <v>183</v>
      </c>
      <c r="C81" s="27" t="s">
        <v>45</v>
      </c>
      <c r="D81" s="3" t="s">
        <v>323</v>
      </c>
      <c r="F81" s="2"/>
      <c r="G81" s="3">
        <v>1.7</v>
      </c>
      <c r="I81" s="3">
        <v>60</v>
      </c>
    </row>
    <row r="82" spans="1:9" ht="15" x14ac:dyDescent="0.15">
      <c r="A82" s="27" t="s">
        <v>292</v>
      </c>
      <c r="B82" s="11" t="s">
        <v>184</v>
      </c>
      <c r="C82" s="27" t="s">
        <v>45</v>
      </c>
      <c r="D82" s="23" t="s">
        <v>325</v>
      </c>
      <c r="F82" s="2"/>
      <c r="G82" s="3">
        <v>2.1</v>
      </c>
      <c r="I82" s="3">
        <v>60</v>
      </c>
    </row>
    <row r="83" spans="1:9" ht="15" x14ac:dyDescent="0.15">
      <c r="A83" s="27" t="s">
        <v>293</v>
      </c>
      <c r="B83" s="11" t="s">
        <v>185</v>
      </c>
      <c r="C83" s="27" t="s">
        <v>45</v>
      </c>
      <c r="D83" s="3" t="s">
        <v>324</v>
      </c>
      <c r="F83" s="2"/>
      <c r="G83" s="3">
        <v>2.1</v>
      </c>
      <c r="I83" s="3">
        <v>60</v>
      </c>
    </row>
    <row r="84" spans="1:9" ht="15" x14ac:dyDescent="0.15">
      <c r="A84" s="27" t="s">
        <v>294</v>
      </c>
      <c r="B84" s="11" t="s">
        <v>186</v>
      </c>
      <c r="C84" s="27" t="s">
        <v>370</v>
      </c>
      <c r="D84" s="3" t="s">
        <v>327</v>
      </c>
      <c r="G84" s="3">
        <v>1.6</v>
      </c>
      <c r="I84" s="3">
        <v>60</v>
      </c>
    </row>
    <row r="85" spans="1:9" ht="15" x14ac:dyDescent="0.15">
      <c r="A85" s="27" t="s">
        <v>295</v>
      </c>
      <c r="B85" s="11" t="s">
        <v>215</v>
      </c>
      <c r="C85" s="27" t="s">
        <v>45</v>
      </c>
      <c r="D85" s="3" t="s">
        <v>326</v>
      </c>
      <c r="F85" s="2"/>
      <c r="G85" s="3">
        <v>2</v>
      </c>
      <c r="I85" s="3">
        <v>60</v>
      </c>
    </row>
    <row r="86" spans="1:9" ht="15" x14ac:dyDescent="0.15">
      <c r="A86" s="27" t="s">
        <v>296</v>
      </c>
      <c r="B86" s="11" t="s">
        <v>216</v>
      </c>
      <c r="C86" s="27" t="s">
        <v>45</v>
      </c>
      <c r="D86" s="3" t="s">
        <v>329</v>
      </c>
      <c r="G86" s="3">
        <v>1.5</v>
      </c>
      <c r="I86" s="3">
        <v>60</v>
      </c>
    </row>
    <row r="87" spans="1:9" ht="15" x14ac:dyDescent="0.15">
      <c r="A87" s="27" t="s">
        <v>297</v>
      </c>
      <c r="B87" s="11" t="s">
        <v>217</v>
      </c>
      <c r="C87" s="27" t="s">
        <v>45</v>
      </c>
      <c r="D87" s="3" t="s">
        <v>328</v>
      </c>
      <c r="G87" s="3">
        <v>1.5</v>
      </c>
      <c r="I87" s="3">
        <v>60</v>
      </c>
    </row>
    <row r="88" spans="1:9" ht="15" x14ac:dyDescent="0.15">
      <c r="A88" s="27" t="s">
        <v>298</v>
      </c>
      <c r="B88" s="11" t="s">
        <v>220</v>
      </c>
      <c r="C88" s="27" t="s">
        <v>45</v>
      </c>
      <c r="D88" s="3" t="s">
        <v>354</v>
      </c>
      <c r="G88" s="3">
        <v>1.1000000000000001</v>
      </c>
      <c r="I88" s="3">
        <v>60</v>
      </c>
    </row>
    <row r="89" spans="1:9" ht="15" x14ac:dyDescent="0.15">
      <c r="A89" s="50" t="s">
        <v>372</v>
      </c>
      <c r="B89" s="11" t="s">
        <v>221</v>
      </c>
      <c r="C89" s="27" t="s">
        <v>427</v>
      </c>
      <c r="D89" s="3"/>
      <c r="G89" s="3">
        <v>1.1000000000000001</v>
      </c>
      <c r="I89" s="3">
        <v>60</v>
      </c>
    </row>
    <row r="90" spans="1:9" ht="15" x14ac:dyDescent="0.15">
      <c r="A90" s="50" t="s">
        <v>373</v>
      </c>
      <c r="B90" s="11" t="s">
        <v>222</v>
      </c>
      <c r="C90" s="27" t="s">
        <v>45</v>
      </c>
      <c r="D90" s="3" t="s">
        <v>330</v>
      </c>
      <c r="G90" s="3">
        <v>0.9</v>
      </c>
      <c r="I90" s="3">
        <v>60</v>
      </c>
    </row>
    <row r="91" spans="1:9" ht="15" x14ac:dyDescent="0.15">
      <c r="A91" s="50" t="s">
        <v>374</v>
      </c>
      <c r="B91" s="11" t="s">
        <v>223</v>
      </c>
      <c r="C91" s="27" t="s">
        <v>45</v>
      </c>
      <c r="D91" s="3" t="s">
        <v>331</v>
      </c>
      <c r="G91" s="3">
        <v>0.9</v>
      </c>
      <c r="I91" s="3">
        <v>60</v>
      </c>
    </row>
    <row r="92" spans="1:9" ht="15" x14ac:dyDescent="0.15">
      <c r="A92" s="50" t="s">
        <v>375</v>
      </c>
      <c r="B92" s="11" t="s">
        <v>224</v>
      </c>
      <c r="C92" s="27" t="s">
        <v>45</v>
      </c>
      <c r="D92" s="3" t="s">
        <v>332</v>
      </c>
      <c r="G92" s="3">
        <v>1</v>
      </c>
      <c r="I92" s="3">
        <v>60</v>
      </c>
    </row>
    <row r="93" spans="1:9" ht="15" x14ac:dyDescent="0.15">
      <c r="A93" s="50" t="s">
        <v>376</v>
      </c>
      <c r="B93" s="11" t="s">
        <v>225</v>
      </c>
      <c r="C93" s="27" t="s">
        <v>45</v>
      </c>
      <c r="D93" s="3" t="s">
        <v>333</v>
      </c>
      <c r="G93" s="3">
        <v>2.5</v>
      </c>
      <c r="I93" s="3">
        <v>60</v>
      </c>
    </row>
    <row r="94" spans="1:9" ht="15" x14ac:dyDescent="0.15">
      <c r="A94" s="50" t="s">
        <v>377</v>
      </c>
      <c r="B94" s="11" t="s">
        <v>226</v>
      </c>
      <c r="C94" s="27" t="s">
        <v>45</v>
      </c>
      <c r="D94" s="23" t="s">
        <v>334</v>
      </c>
      <c r="G94" s="3">
        <v>2.5</v>
      </c>
      <c r="I94" s="3">
        <v>60</v>
      </c>
    </row>
    <row r="95" spans="1:9" ht="15" x14ac:dyDescent="0.15">
      <c r="A95" s="50" t="s">
        <v>378</v>
      </c>
      <c r="B95" s="11" t="s">
        <v>227</v>
      </c>
      <c r="C95" s="27" t="s">
        <v>45</v>
      </c>
      <c r="D95" s="23" t="s">
        <v>335</v>
      </c>
      <c r="G95" s="3">
        <v>2.5</v>
      </c>
      <c r="I95" s="3">
        <v>60</v>
      </c>
    </row>
    <row r="96" spans="1:9" ht="15" x14ac:dyDescent="0.15">
      <c r="A96" s="50" t="s">
        <v>379</v>
      </c>
      <c r="B96" s="11" t="s">
        <v>228</v>
      </c>
      <c r="C96" s="27" t="s">
        <v>45</v>
      </c>
      <c r="D96" s="23" t="s">
        <v>336</v>
      </c>
      <c r="G96" s="3">
        <v>1</v>
      </c>
      <c r="I96" s="3">
        <v>60</v>
      </c>
    </row>
    <row r="97" spans="1:9" ht="15" x14ac:dyDescent="0.15">
      <c r="A97" s="27" t="s">
        <v>299</v>
      </c>
      <c r="B97" s="11" t="s">
        <v>229</v>
      </c>
      <c r="C97" s="27" t="s">
        <v>45</v>
      </c>
      <c r="D97" s="23" t="s">
        <v>337</v>
      </c>
      <c r="G97" s="3">
        <v>1</v>
      </c>
      <c r="I97" s="3">
        <v>20</v>
      </c>
    </row>
    <row r="98" spans="1:9" ht="15" x14ac:dyDescent="0.15">
      <c r="A98" s="3" t="s">
        <v>342</v>
      </c>
      <c r="B98" s="11" t="s">
        <v>343</v>
      </c>
      <c r="C98" s="27" t="s">
        <v>45</v>
      </c>
      <c r="D98" s="23" t="s">
        <v>368</v>
      </c>
      <c r="G98" s="3">
        <v>1.5</v>
      </c>
      <c r="I98" s="3">
        <v>60</v>
      </c>
    </row>
    <row r="99" spans="1:9" ht="15" x14ac:dyDescent="0.15">
      <c r="A99" s="51" t="s">
        <v>380</v>
      </c>
      <c r="B99" s="11" t="s">
        <v>381</v>
      </c>
      <c r="C99" s="26" t="s">
        <v>382</v>
      </c>
      <c r="G99" s="3">
        <v>1</v>
      </c>
      <c r="I99" s="3">
        <v>20</v>
      </c>
    </row>
    <row r="100" spans="1:9" ht="15" x14ac:dyDescent="0.15">
      <c r="A100" s="52" t="s">
        <v>394</v>
      </c>
      <c r="B100" s="11" t="s">
        <v>403</v>
      </c>
      <c r="C100" s="50" t="s">
        <v>412</v>
      </c>
      <c r="G100" s="3">
        <v>1</v>
      </c>
      <c r="I100" s="3">
        <v>60</v>
      </c>
    </row>
    <row r="101" spans="1:9" ht="15" x14ac:dyDescent="0.15">
      <c r="A101" s="52" t="s">
        <v>395</v>
      </c>
      <c r="B101" s="11" t="s">
        <v>404</v>
      </c>
      <c r="C101" s="50" t="s">
        <v>413</v>
      </c>
      <c r="G101" s="3">
        <v>1</v>
      </c>
      <c r="I101" s="3">
        <v>60</v>
      </c>
    </row>
    <row r="102" spans="1:9" ht="15" x14ac:dyDescent="0.15">
      <c r="A102" s="52" t="s">
        <v>396</v>
      </c>
      <c r="B102" s="11" t="s">
        <v>405</v>
      </c>
      <c r="C102" s="50" t="s">
        <v>414</v>
      </c>
      <c r="G102" s="3">
        <v>1</v>
      </c>
      <c r="I102" s="3">
        <v>60</v>
      </c>
    </row>
    <row r="103" spans="1:9" ht="15" x14ac:dyDescent="0.15">
      <c r="A103" s="52" t="s">
        <v>397</v>
      </c>
      <c r="B103" s="11" t="s">
        <v>406</v>
      </c>
      <c r="C103" s="50" t="s">
        <v>415</v>
      </c>
      <c r="G103" s="3">
        <v>1</v>
      </c>
      <c r="I103" s="3">
        <v>60</v>
      </c>
    </row>
    <row r="104" spans="1:9" ht="15" x14ac:dyDescent="0.15">
      <c r="A104" s="52" t="s">
        <v>398</v>
      </c>
      <c r="B104" s="11" t="s">
        <v>407</v>
      </c>
      <c r="C104" s="27" t="s">
        <v>45</v>
      </c>
      <c r="D104" s="50" t="s">
        <v>416</v>
      </c>
      <c r="G104" s="3">
        <v>1</v>
      </c>
      <c r="I104" s="3">
        <v>60</v>
      </c>
    </row>
    <row r="105" spans="1:9" ht="15" x14ac:dyDescent="0.15">
      <c r="A105" s="52" t="s">
        <v>399</v>
      </c>
      <c r="B105" s="11" t="s">
        <v>408</v>
      </c>
      <c r="C105" s="27" t="s">
        <v>45</v>
      </c>
      <c r="D105" s="50" t="s">
        <v>417</v>
      </c>
      <c r="G105" s="3">
        <v>1</v>
      </c>
      <c r="I105" s="3">
        <v>60</v>
      </c>
    </row>
    <row r="106" spans="1:9" ht="15" x14ac:dyDescent="0.15">
      <c r="A106" s="52" t="s">
        <v>400</v>
      </c>
      <c r="B106" s="11" t="s">
        <v>409</v>
      </c>
      <c r="C106" s="27" t="s">
        <v>45</v>
      </c>
      <c r="D106" s="50" t="s">
        <v>418</v>
      </c>
      <c r="G106" s="3">
        <v>1</v>
      </c>
      <c r="I106" s="3">
        <v>60</v>
      </c>
    </row>
    <row r="107" spans="1:9" ht="15" x14ac:dyDescent="0.15">
      <c r="A107" s="52" t="s">
        <v>401</v>
      </c>
      <c r="B107" s="11" t="s">
        <v>410</v>
      </c>
      <c r="C107" s="27" t="s">
        <v>45</v>
      </c>
      <c r="D107" s="50" t="s">
        <v>420</v>
      </c>
      <c r="G107" s="3">
        <v>1</v>
      </c>
      <c r="I107" s="3">
        <v>60</v>
      </c>
    </row>
    <row r="108" spans="1:9" ht="15" x14ac:dyDescent="0.15">
      <c r="A108" s="52" t="s">
        <v>402</v>
      </c>
      <c r="B108" s="11" t="s">
        <v>411</v>
      </c>
      <c r="C108" s="27" t="s">
        <v>45</v>
      </c>
      <c r="D108" s="50" t="s">
        <v>419</v>
      </c>
      <c r="G108" s="3">
        <v>1</v>
      </c>
      <c r="I108" s="3">
        <v>60</v>
      </c>
    </row>
    <row r="109" spans="1:9" ht="15" x14ac:dyDescent="0.15">
      <c r="A109" s="32" t="s">
        <v>421</v>
      </c>
      <c r="B109" s="11" t="s">
        <v>422</v>
      </c>
      <c r="C109" s="27" t="s">
        <v>45</v>
      </c>
      <c r="D109" s="17" t="s">
        <v>423</v>
      </c>
      <c r="G109" s="3">
        <v>1</v>
      </c>
      <c r="I109" s="3">
        <v>60</v>
      </c>
    </row>
    <row r="110" spans="1:9" ht="15" x14ac:dyDescent="0.15">
      <c r="A110" s="16" t="s">
        <v>424</v>
      </c>
      <c r="B110" s="11" t="s">
        <v>425</v>
      </c>
      <c r="C110" s="27" t="s">
        <v>426</v>
      </c>
      <c r="D110" s="17"/>
      <c r="G110" s="3">
        <v>1</v>
      </c>
      <c r="I110" s="3">
        <v>20</v>
      </c>
    </row>
    <row r="111" spans="1:9" ht="15" x14ac:dyDescent="0.15">
      <c r="A111" s="32"/>
      <c r="B111" s="11"/>
      <c r="I111" s="1"/>
    </row>
    <row r="112" spans="1:9" ht="15" x14ac:dyDescent="0.15">
      <c r="A112" s="32"/>
      <c r="B112" s="11"/>
      <c r="I112" s="1"/>
    </row>
    <row r="113" spans="2:2" ht="15" x14ac:dyDescent="0.15">
      <c r="B113" s="11"/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zoomScaleNormal="100" workbookViewId="0">
      <pane ySplit="3" topLeftCell="A82" activePane="bottomLeft" state="frozen"/>
      <selection activeCell="D1" sqref="D1"/>
      <selection pane="bottomLeft" activeCell="X67" sqref="X67"/>
    </sheetView>
  </sheetViews>
  <sheetFormatPr defaultRowHeight="13.5" x14ac:dyDescent="0.15"/>
  <cols>
    <col min="1" max="1" width="14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351</v>
      </c>
      <c r="L1" s="12" t="s">
        <v>353</v>
      </c>
      <c r="M1" s="12" t="s">
        <v>353</v>
      </c>
      <c r="N1" s="12" t="s">
        <v>353</v>
      </c>
      <c r="O1" s="12" t="s">
        <v>353</v>
      </c>
      <c r="P1" s="12" t="s">
        <v>353</v>
      </c>
      <c r="Q1" s="12" t="s">
        <v>353</v>
      </c>
      <c r="R1" s="12" t="s">
        <v>353</v>
      </c>
      <c r="S1" s="12" t="s">
        <v>353</v>
      </c>
      <c r="T1" s="12" t="s">
        <v>353</v>
      </c>
      <c r="U1" s="12" t="s">
        <v>353</v>
      </c>
      <c r="V1" s="12" t="s">
        <v>353</v>
      </c>
      <c r="W1" s="12" t="s">
        <v>353</v>
      </c>
      <c r="X1" s="12" t="s">
        <v>353</v>
      </c>
      <c r="Y1" s="12" t="s">
        <v>353</v>
      </c>
      <c r="Z1" s="6" t="s">
        <v>352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345</v>
      </c>
      <c r="H2" s="13" t="s">
        <v>346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355</v>
      </c>
      <c r="D3" s="1" t="s">
        <v>218</v>
      </c>
      <c r="E3" s="20" t="s">
        <v>197</v>
      </c>
      <c r="F3" s="7" t="s">
        <v>187</v>
      </c>
      <c r="G3" s="8" t="s">
        <v>347</v>
      </c>
      <c r="H3" s="8" t="s">
        <v>348</v>
      </c>
      <c r="I3" s="7" t="s">
        <v>188</v>
      </c>
      <c r="J3" s="45" t="s">
        <v>369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362</v>
      </c>
      <c r="W3" s="38" t="s">
        <v>363</v>
      </c>
      <c r="X3" s="38" t="s">
        <v>349</v>
      </c>
      <c r="Y3" s="38" t="s">
        <v>350</v>
      </c>
    </row>
    <row r="4" spans="1:26" ht="15" x14ac:dyDescent="0.15">
      <c r="A4" s="27" t="s">
        <v>36</v>
      </c>
      <c r="B4" s="11" t="s">
        <v>341</v>
      </c>
      <c r="C4" s="12" t="s">
        <v>344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344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350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344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9" si="3">L5*2</f>
        <v>400000</v>
      </c>
      <c r="M6" s="35">
        <v>36</v>
      </c>
      <c r="N6" s="35">
        <f>N5*2</f>
        <v>2000000</v>
      </c>
      <c r="O6" s="35">
        <v>100</v>
      </c>
      <c r="P6" s="35">
        <v>350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344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72</v>
      </c>
      <c r="N7" s="35">
        <f t="shared" ref="N7:N9" si="4">N6*2</f>
        <v>4000000</v>
      </c>
      <c r="O7" s="35">
        <v>1000</v>
      </c>
      <c r="P7" s="35">
        <v>350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344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350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344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 t="shared" si="3"/>
        <v>8000000</v>
      </c>
      <c r="M9" s="35">
        <v>288</v>
      </c>
      <c r="N9" s="35">
        <f t="shared" si="4"/>
        <v>16000000</v>
      </c>
      <c r="O9" s="35">
        <v>10000</v>
      </c>
      <c r="P9" s="35">
        <v>350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344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v>432</v>
      </c>
      <c r="N10" s="35">
        <f t="shared" ref="N10:N11" si="5">N9*1.5</f>
        <v>24000000</v>
      </c>
      <c r="O10" s="35">
        <v>10000</v>
      </c>
      <c r="P10" s="35">
        <v>350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344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v>648</v>
      </c>
      <c r="N11" s="35">
        <f t="shared" si="5"/>
        <v>36000000</v>
      </c>
      <c r="O11" s="35">
        <v>10000</v>
      </c>
      <c r="P11" s="35">
        <v>350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344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27000000</v>
      </c>
      <c r="M12" s="35">
        <v>972</v>
      </c>
      <c r="N12" s="35">
        <f t="shared" si="6"/>
        <v>54000000</v>
      </c>
      <c r="O12" s="35">
        <v>10000</v>
      </c>
      <c r="P12" s="35">
        <v>350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344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L12*1.3</f>
        <v>35100000</v>
      </c>
      <c r="M13" s="35">
        <v>1263.6000000000001</v>
      </c>
      <c r="N13" s="35">
        <f t="shared" ref="N13:N15" si="7">N12*1.3</f>
        <v>70200000</v>
      </c>
      <c r="O13" s="35">
        <v>10000</v>
      </c>
      <c r="P13" s="35">
        <v>350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344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45630000</v>
      </c>
      <c r="M14" s="35">
        <v>1642.68</v>
      </c>
      <c r="N14" s="35">
        <f t="shared" si="7"/>
        <v>91260000</v>
      </c>
      <c r="O14" s="35">
        <v>10000</v>
      </c>
      <c r="P14" s="35">
        <v>350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1024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344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59319000</v>
      </c>
      <c r="M15" s="35">
        <v>2135.4840000000004</v>
      </c>
      <c r="N15" s="35">
        <f t="shared" si="7"/>
        <v>118638000</v>
      </c>
      <c r="O15" s="35">
        <v>10000</v>
      </c>
      <c r="P15" s="35">
        <v>350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1024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344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71182800</v>
      </c>
      <c r="M16" s="35">
        <v>2562.5808000000002</v>
      </c>
      <c r="N16" s="35">
        <f t="shared" si="9"/>
        <v>142365600</v>
      </c>
      <c r="O16" s="35">
        <v>10000</v>
      </c>
      <c r="P16" s="35">
        <v>350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1024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344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85419360</v>
      </c>
      <c r="M17" s="35">
        <v>3075.0969600000003</v>
      </c>
      <c r="N17" s="35">
        <f t="shared" ref="N17:N18" si="10">N16*1.2</f>
        <v>170838720</v>
      </c>
      <c r="O17" s="35">
        <v>10000</v>
      </c>
      <c r="P17" s="35">
        <v>350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1024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344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102503232</v>
      </c>
      <c r="M18" s="35">
        <v>3690.116352</v>
      </c>
      <c r="N18" s="35">
        <f t="shared" si="10"/>
        <v>205006464</v>
      </c>
      <c r="O18" s="35">
        <v>10000</v>
      </c>
      <c r="P18" s="35">
        <v>350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1024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344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123003878.39999999</v>
      </c>
      <c r="M19" s="35">
        <v>4059.1279872000005</v>
      </c>
      <c r="N19" s="35">
        <f t="shared" ref="N19:N28" si="12">N18*1.1</f>
        <v>225507110.40000001</v>
      </c>
      <c r="O19" s="35">
        <v>10000</v>
      </c>
      <c r="P19" s="35">
        <v>350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1536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344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147604654.07999998</v>
      </c>
      <c r="M20" s="35">
        <v>4465.0407859200013</v>
      </c>
      <c r="N20" s="35">
        <f t="shared" si="12"/>
        <v>248057821.44000003</v>
      </c>
      <c r="O20" s="35">
        <v>10000</v>
      </c>
      <c r="P20" s="35">
        <v>350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1536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344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177125584.89599997</v>
      </c>
      <c r="M21" s="35">
        <v>4911.5448645120014</v>
      </c>
      <c r="N21" s="35">
        <f t="shared" si="12"/>
        <v>272863603.58400005</v>
      </c>
      <c r="O21" s="35">
        <v>10000</v>
      </c>
      <c r="P21" s="35">
        <v>350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1536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344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212550701.87519994</v>
      </c>
      <c r="M22" s="35">
        <v>5402.6993509632021</v>
      </c>
      <c r="N22" s="35">
        <f t="shared" si="12"/>
        <v>300149963.9424001</v>
      </c>
      <c r="O22" s="35">
        <v>10000</v>
      </c>
      <c r="P22" s="35">
        <v>350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1536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344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255060842.25023991</v>
      </c>
      <c r="M23" s="35">
        <v>5942.9692860595233</v>
      </c>
      <c r="N23" s="35">
        <f t="shared" si="12"/>
        <v>330164960.33664012</v>
      </c>
      <c r="O23" s="35">
        <v>10000</v>
      </c>
      <c r="P23" s="35">
        <v>350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1536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344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306073010.70028788</v>
      </c>
      <c r="M24" s="35">
        <v>6537.2662146654757</v>
      </c>
      <c r="N24" s="35">
        <f t="shared" si="12"/>
        <v>363181456.37030417</v>
      </c>
      <c r="O24" s="35">
        <v>10000</v>
      </c>
      <c r="P24" s="35">
        <v>350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2560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344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367287612.84034544</v>
      </c>
      <c r="M25" s="35">
        <v>7190.9928361320244</v>
      </c>
      <c r="N25" s="35">
        <f t="shared" si="12"/>
        <v>399499602.00733459</v>
      </c>
      <c r="O25" s="35">
        <v>10000</v>
      </c>
      <c r="P25" s="35">
        <v>350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2560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344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440745135.40841454</v>
      </c>
      <c r="M26" s="35">
        <v>7910.0921197452271</v>
      </c>
      <c r="N26" s="35">
        <f t="shared" si="12"/>
        <v>439449562.20806807</v>
      </c>
      <c r="O26" s="35">
        <v>10000</v>
      </c>
      <c r="P26" s="35">
        <v>350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2560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344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528894162.4900974</v>
      </c>
      <c r="M27" s="35">
        <v>8701.1013317197503</v>
      </c>
      <c r="N27" s="35">
        <f t="shared" si="12"/>
        <v>483394518.42887491</v>
      </c>
      <c r="O27" s="35">
        <v>10000</v>
      </c>
      <c r="P27" s="35">
        <v>350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2560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344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634672994.98811686</v>
      </c>
      <c r="M28" s="35">
        <v>9571.211464891725</v>
      </c>
      <c r="N28" s="35">
        <f t="shared" si="12"/>
        <v>531733970.27176243</v>
      </c>
      <c r="O28" s="35">
        <v>10000</v>
      </c>
      <c r="P28" s="35">
        <v>350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2560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356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720</v>
      </c>
      <c r="N29" s="7">
        <f t="shared" si="21"/>
        <v>40000000</v>
      </c>
      <c r="O29" s="35">
        <v>10000</v>
      </c>
      <c r="P29" s="7">
        <v>400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5120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356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175500000</v>
      </c>
      <c r="M30" s="7">
        <v>6318</v>
      </c>
      <c r="N30" s="7">
        <f t="shared" si="22"/>
        <v>351000000</v>
      </c>
      <c r="O30" s="35">
        <v>10000</v>
      </c>
      <c r="P30" s="7">
        <v>400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356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512516160</v>
      </c>
      <c r="M31" s="7">
        <v>18450.581760000001</v>
      </c>
      <c r="N31" s="7">
        <f>N18*5</f>
        <v>1025032320</v>
      </c>
      <c r="O31" s="35">
        <v>10000</v>
      </c>
      <c r="P31" s="7">
        <v>400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10240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356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1275304211.2511995</v>
      </c>
      <c r="M32" s="7">
        <v>29714.846430297614</v>
      </c>
      <c r="N32" s="7">
        <f t="shared" si="23"/>
        <v>1650824801.6832006</v>
      </c>
      <c r="O32" s="35">
        <v>10000</v>
      </c>
      <c r="P32" s="7">
        <v>400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12800</v>
      </c>
      <c r="X32" s="42">
        <v>20</v>
      </c>
      <c r="Y32" s="42">
        <v>200</v>
      </c>
    </row>
    <row r="33" spans="1:25" ht="15" x14ac:dyDescent="0.15">
      <c r="A33" s="31" t="s">
        <v>247</v>
      </c>
      <c r="B33" s="11" t="s">
        <v>135</v>
      </c>
      <c r="C33" s="12" t="s">
        <v>356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1912956316.8767991</v>
      </c>
      <c r="M33" s="7">
        <v>47856.057324458627</v>
      </c>
      <c r="N33" s="7">
        <f t="shared" ref="N33" si="24">N28*5</f>
        <v>2658669851.3588123</v>
      </c>
      <c r="O33" s="35">
        <v>10000</v>
      </c>
      <c r="P33" s="7">
        <v>400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25600</v>
      </c>
      <c r="X33" s="42">
        <v>20</v>
      </c>
      <c r="Y33" s="42">
        <v>200</v>
      </c>
    </row>
    <row r="34" spans="1:25" ht="15" x14ac:dyDescent="0.15">
      <c r="A34" s="27" t="s">
        <v>248</v>
      </c>
      <c r="B34" s="11" t="s">
        <v>136</v>
      </c>
      <c r="C34" s="12" t="s">
        <v>356</v>
      </c>
      <c r="D34" s="7"/>
      <c r="E34" s="7"/>
      <c r="F34" s="33">
        <v>500</v>
      </c>
      <c r="G34" s="33"/>
      <c r="H34" s="33"/>
      <c r="I34" s="33">
        <v>500</v>
      </c>
      <c r="J34" s="46">
        <v>100</v>
      </c>
      <c r="K34" s="34"/>
      <c r="L34" s="39">
        <f t="shared" ref="L34:N34" si="25">L33*0.7</f>
        <v>1339069421.8137593</v>
      </c>
      <c r="M34" s="39">
        <v>33499.24012712104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15360</v>
      </c>
      <c r="X34" s="42">
        <v>20</v>
      </c>
      <c r="Y34" s="42">
        <v>200</v>
      </c>
    </row>
    <row r="35" spans="1:25" ht="15" x14ac:dyDescent="0.15">
      <c r="A35" s="27" t="s">
        <v>249</v>
      </c>
      <c r="B35" s="11" t="s">
        <v>137</v>
      </c>
      <c r="C35" s="12" t="s">
        <v>344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344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350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344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350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344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0">O10</f>
        <v>10000</v>
      </c>
      <c r="P38" s="39">
        <f t="shared" si="30"/>
        <v>350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344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350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344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L43*1.5</f>
        <v>12000000</v>
      </c>
      <c r="M40" s="39">
        <v>270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350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344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L44*1.5</f>
        <v>27000000</v>
      </c>
      <c r="M41" s="39">
        <v>607.5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350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344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L45*1.5</f>
        <v>60750000</v>
      </c>
      <c r="M42" s="39">
        <v>1366.875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350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391</v>
      </c>
      <c r="B43" s="11" t="s">
        <v>145</v>
      </c>
      <c r="C43" s="12" t="s">
        <v>344</v>
      </c>
      <c r="D43" s="7"/>
      <c r="E43" s="7"/>
      <c r="F43" s="42"/>
      <c r="G43" s="33"/>
      <c r="H43" s="33">
        <v>5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v>180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350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392</v>
      </c>
      <c r="B44" s="11" t="s">
        <v>146</v>
      </c>
      <c r="C44" s="12" t="s">
        <v>344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L40*1.5</f>
        <v>18000000</v>
      </c>
      <c r="M44" s="39">
        <v>405</v>
      </c>
      <c r="N44" s="39">
        <f t="shared" ref="N44" si="41">N40*1.5</f>
        <v>36000000</v>
      </c>
      <c r="O44" s="39">
        <f t="shared" ref="O44:X44" si="42">O14</f>
        <v>10000</v>
      </c>
      <c r="P44" s="39">
        <f t="shared" si="42"/>
        <v>350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1280</v>
      </c>
      <c r="X44" s="39">
        <f t="shared" si="42"/>
        <v>0</v>
      </c>
      <c r="Y44" s="39">
        <v>0</v>
      </c>
    </row>
    <row r="45" spans="1:25" ht="14.25" customHeight="1" x14ac:dyDescent="0.15">
      <c r="A45" s="27" t="s">
        <v>393</v>
      </c>
      <c r="B45" s="11" t="s">
        <v>147</v>
      </c>
      <c r="C45" s="12" t="s">
        <v>344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L41*1.5</f>
        <v>40500000</v>
      </c>
      <c r="M45" s="39">
        <v>911.25</v>
      </c>
      <c r="N45" s="39">
        <f t="shared" ref="N45" si="43">N41*1.5</f>
        <v>81000000</v>
      </c>
      <c r="O45" s="39">
        <f t="shared" ref="O45:X45" si="44">O23</f>
        <v>10000</v>
      </c>
      <c r="P45" s="39">
        <f t="shared" si="44"/>
        <v>350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2048</v>
      </c>
      <c r="X45" s="39">
        <f t="shared" si="44"/>
        <v>0</v>
      </c>
      <c r="Y45" s="39">
        <v>0</v>
      </c>
    </row>
    <row r="46" spans="1:25" ht="15" x14ac:dyDescent="0.15">
      <c r="A46" s="27" t="s">
        <v>260</v>
      </c>
      <c r="B46" s="11" t="s">
        <v>148</v>
      </c>
      <c r="C46" s="12" t="s">
        <v>356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1024</v>
      </c>
      <c r="X46" s="42">
        <v>0</v>
      </c>
      <c r="Y46" s="42">
        <v>0</v>
      </c>
    </row>
    <row r="47" spans="1:25" ht="15" x14ac:dyDescent="0.15">
      <c r="A47" s="27" t="s">
        <v>261</v>
      </c>
      <c r="B47" s="11" t="s">
        <v>149</v>
      </c>
      <c r="C47" s="12" t="s">
        <v>356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350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1024</v>
      </c>
      <c r="X47" s="42">
        <v>0</v>
      </c>
      <c r="Y47" s="42">
        <v>0</v>
      </c>
    </row>
    <row r="48" spans="1:25" ht="15" x14ac:dyDescent="0.15">
      <c r="A48" s="27" t="s">
        <v>262</v>
      </c>
      <c r="B48" s="11" t="s">
        <v>150</v>
      </c>
      <c r="C48" s="12" t="s">
        <v>356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46"/>
        <v>300</v>
      </c>
      <c r="P48" s="35">
        <f t="shared" si="47"/>
        <v>350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1024</v>
      </c>
      <c r="X48" s="42">
        <v>0</v>
      </c>
      <c r="Y48" s="42">
        <v>0</v>
      </c>
    </row>
    <row r="49" spans="1:25" ht="15" x14ac:dyDescent="0.15">
      <c r="A49" s="27" t="s">
        <v>263</v>
      </c>
      <c r="B49" s="11" t="s">
        <v>151</v>
      </c>
      <c r="C49" s="12" t="s">
        <v>356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46"/>
        <v>3000</v>
      </c>
      <c r="P49" s="35">
        <f t="shared" si="47"/>
        <v>350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1024</v>
      </c>
      <c r="X49" s="42">
        <v>0</v>
      </c>
      <c r="Y49" s="42">
        <v>0</v>
      </c>
    </row>
    <row r="50" spans="1:25" ht="15" x14ac:dyDescent="0.15">
      <c r="A50" s="27" t="s">
        <v>264</v>
      </c>
      <c r="B50" s="11" t="s">
        <v>152</v>
      </c>
      <c r="C50" s="12" t="s">
        <v>356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46"/>
        <v>3000</v>
      </c>
      <c r="P50" s="35">
        <f t="shared" si="47"/>
        <v>350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1536</v>
      </c>
      <c r="X50" s="42">
        <v>0</v>
      </c>
      <c r="Y50" s="42">
        <v>0</v>
      </c>
    </row>
    <row r="51" spans="1:25" ht="15" x14ac:dyDescent="0.15">
      <c r="A51" s="27" t="s">
        <v>265</v>
      </c>
      <c r="B51" s="11" t="s">
        <v>153</v>
      </c>
      <c r="C51" s="12" t="s">
        <v>356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168.75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350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1536</v>
      </c>
      <c r="X51" s="42">
        <v>0</v>
      </c>
      <c r="Y51" s="42">
        <v>0</v>
      </c>
    </row>
    <row r="52" spans="1:25" ht="15" x14ac:dyDescent="0.15">
      <c r="A52" s="27" t="s">
        <v>266</v>
      </c>
      <c r="B52" s="11" t="s">
        <v>154</v>
      </c>
      <c r="C52" s="12" t="s">
        <v>356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350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2048</v>
      </c>
      <c r="X52" s="42">
        <v>0</v>
      </c>
      <c r="Y52" s="42">
        <v>0</v>
      </c>
    </row>
    <row r="53" spans="1:25" ht="15" x14ac:dyDescent="0.15">
      <c r="A53" s="27" t="s">
        <v>267</v>
      </c>
      <c r="B53" s="11" t="s">
        <v>155</v>
      </c>
      <c r="C53" s="12" t="s">
        <v>356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350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2048</v>
      </c>
      <c r="X53" s="42">
        <v>0</v>
      </c>
      <c r="Y53" s="42">
        <v>0</v>
      </c>
    </row>
    <row r="54" spans="1:25" ht="15" x14ac:dyDescent="0.15">
      <c r="A54" s="27" t="s">
        <v>268</v>
      </c>
      <c r="B54" s="11" t="s">
        <v>156</v>
      </c>
      <c r="C54" s="12" t="s">
        <v>356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350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2560</v>
      </c>
      <c r="X54" s="42">
        <v>0</v>
      </c>
      <c r="Y54" s="42">
        <v>0</v>
      </c>
    </row>
    <row r="55" spans="1:25" ht="15" x14ac:dyDescent="0.15">
      <c r="A55" s="27" t="s">
        <v>269</v>
      </c>
      <c r="B55" s="11" t="s">
        <v>157</v>
      </c>
      <c r="C55" s="12" t="s">
        <v>356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350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2560</v>
      </c>
      <c r="X55" s="42">
        <v>0</v>
      </c>
      <c r="Y55" s="42">
        <v>0</v>
      </c>
    </row>
    <row r="56" spans="1:25" ht="14.25" customHeight="1" x14ac:dyDescent="0.15">
      <c r="A56" s="27" t="s">
        <v>270</v>
      </c>
      <c r="B56" s="11" t="s">
        <v>158</v>
      </c>
      <c r="C56" s="12" t="s">
        <v>356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350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3072</v>
      </c>
      <c r="X56" s="42">
        <v>0</v>
      </c>
      <c r="Y56" s="42">
        <v>0</v>
      </c>
    </row>
    <row r="57" spans="1:25" ht="15" x14ac:dyDescent="0.15">
      <c r="A57" s="27" t="s">
        <v>271</v>
      </c>
      <c r="B57" s="11" t="s">
        <v>159</v>
      </c>
      <c r="C57" s="12" t="s">
        <v>356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350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3072</v>
      </c>
      <c r="X57" s="42">
        <v>0</v>
      </c>
      <c r="Y57" s="42">
        <v>0</v>
      </c>
    </row>
    <row r="58" spans="1:25" ht="15" x14ac:dyDescent="0.15">
      <c r="A58" s="27" t="s">
        <v>272</v>
      </c>
      <c r="B58" s="11" t="s">
        <v>160</v>
      </c>
      <c r="C58" s="12" t="s">
        <v>356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350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3584</v>
      </c>
      <c r="X58" s="42">
        <v>0</v>
      </c>
      <c r="Y58" s="42">
        <v>0</v>
      </c>
    </row>
    <row r="59" spans="1:25" ht="15" x14ac:dyDescent="0.15">
      <c r="A59" s="27" t="s">
        <v>273</v>
      </c>
      <c r="B59" s="11" t="s">
        <v>161</v>
      </c>
      <c r="C59" s="12" t="s">
        <v>356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350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3584</v>
      </c>
      <c r="X59" s="42">
        <v>0</v>
      </c>
      <c r="Y59" s="42">
        <v>0</v>
      </c>
    </row>
    <row r="60" spans="1:25" ht="15" x14ac:dyDescent="0.15">
      <c r="A60" s="27" t="s">
        <v>274</v>
      </c>
      <c r="B60" s="11" t="s">
        <v>162</v>
      </c>
      <c r="C60" s="12" t="s">
        <v>356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350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4096</v>
      </c>
      <c r="X60" s="42">
        <v>0</v>
      </c>
      <c r="Y60" s="42">
        <v>0</v>
      </c>
    </row>
    <row r="61" spans="1:25" ht="15" x14ac:dyDescent="0.15">
      <c r="A61" s="27" t="s">
        <v>275</v>
      </c>
      <c r="B61" s="11" t="s">
        <v>163</v>
      </c>
      <c r="C61" s="12" t="s">
        <v>356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350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4096</v>
      </c>
      <c r="X61" s="42">
        <v>0</v>
      </c>
      <c r="Y61" s="42">
        <v>0</v>
      </c>
    </row>
    <row r="62" spans="1:25" ht="15" x14ac:dyDescent="0.15">
      <c r="A62" s="27" t="s">
        <v>276</v>
      </c>
      <c r="B62" s="11" t="s">
        <v>164</v>
      </c>
      <c r="C62" s="12" t="s">
        <v>356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350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4608</v>
      </c>
      <c r="X62" s="42">
        <v>0</v>
      </c>
      <c r="Y62" s="42">
        <v>0</v>
      </c>
    </row>
    <row r="63" spans="1:25" ht="15" x14ac:dyDescent="0.15">
      <c r="A63" s="27" t="s">
        <v>277</v>
      </c>
      <c r="B63" s="11" t="s">
        <v>165</v>
      </c>
      <c r="C63" s="12" t="s">
        <v>356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350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4608</v>
      </c>
      <c r="X63" s="42">
        <v>0</v>
      </c>
      <c r="Y63" s="42">
        <v>0</v>
      </c>
    </row>
    <row r="64" spans="1:25" ht="15" x14ac:dyDescent="0.15">
      <c r="A64" s="27" t="s">
        <v>278</v>
      </c>
      <c r="B64" s="11" t="s">
        <v>166</v>
      </c>
      <c r="C64" s="12" t="s">
        <v>356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350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5120</v>
      </c>
      <c r="X64" s="42">
        <v>20</v>
      </c>
      <c r="Y64" s="42">
        <v>200</v>
      </c>
    </row>
    <row r="65" spans="1:25" ht="15" x14ac:dyDescent="0.15">
      <c r="A65" s="27" t="s">
        <v>279</v>
      </c>
      <c r="B65" s="11" t="s">
        <v>167</v>
      </c>
      <c r="C65" s="12" t="s">
        <v>356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350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5120</v>
      </c>
      <c r="X65" s="42">
        <v>20</v>
      </c>
      <c r="Y65" s="42">
        <v>200</v>
      </c>
    </row>
    <row r="66" spans="1:25" ht="15" x14ac:dyDescent="0.15">
      <c r="A66" s="27" t="s">
        <v>280</v>
      </c>
      <c r="B66" s="11" t="s">
        <v>168</v>
      </c>
      <c r="C66" s="12" t="s">
        <v>356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918219032.1008637</v>
      </c>
      <c r="M66" s="39">
        <v>19611.798643996426</v>
      </c>
      <c r="N66" s="39">
        <f t="shared" si="63"/>
        <v>1089544369.1109126</v>
      </c>
      <c r="O66" s="39">
        <f t="shared" si="63"/>
        <v>30000</v>
      </c>
      <c r="P66" s="35">
        <f t="shared" si="47"/>
        <v>350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280</v>
      </c>
      <c r="B67" s="11" t="s">
        <v>169</v>
      </c>
      <c r="C67" s="12" t="s">
        <v>356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ref="L67" si="67">L25*3</f>
        <v>1101862838.5210364</v>
      </c>
      <c r="M67" s="39">
        <v>21572.978508396071</v>
      </c>
      <c r="N67" s="39">
        <f t="shared" si="63"/>
        <v>1198498806.0220037</v>
      </c>
      <c r="O67" s="39">
        <f t="shared" si="63"/>
        <v>30000</v>
      </c>
      <c r="P67" s="35">
        <f t="shared" si="47"/>
        <v>350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1024</v>
      </c>
      <c r="X67" s="42">
        <v>20</v>
      </c>
      <c r="Y67" s="42">
        <v>200</v>
      </c>
    </row>
    <row r="68" spans="1:25" ht="15" x14ac:dyDescent="0.15">
      <c r="A68" s="27" t="s">
        <v>280</v>
      </c>
      <c r="B68" s="11" t="s">
        <v>170</v>
      </c>
      <c r="C68" s="12" t="s">
        <v>356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ref="L68" si="68">L26*3</f>
        <v>1322235406.2252436</v>
      </c>
      <c r="M68" s="39">
        <v>23730.276359235682</v>
      </c>
      <c r="N68" s="39">
        <f t="shared" si="63"/>
        <v>1318348686.6242042</v>
      </c>
      <c r="O68" s="39">
        <f t="shared" si="63"/>
        <v>30000</v>
      </c>
      <c r="P68" s="35">
        <f t="shared" si="47"/>
        <v>350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1024</v>
      </c>
      <c r="X68" s="42">
        <v>20</v>
      </c>
      <c r="Y68" s="42">
        <v>200</v>
      </c>
    </row>
    <row r="69" spans="1:25" ht="15" x14ac:dyDescent="0.15">
      <c r="A69" s="27" t="s">
        <v>280</v>
      </c>
      <c r="B69" s="11" t="s">
        <v>171</v>
      </c>
      <c r="C69" s="12" t="s">
        <v>356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ref="L69" si="69">L27*3</f>
        <v>1586682487.4702921</v>
      </c>
      <c r="M69" s="39">
        <v>26103.303995159251</v>
      </c>
      <c r="N69" s="39">
        <f t="shared" si="63"/>
        <v>1450183555.2866247</v>
      </c>
      <c r="O69" s="39">
        <f t="shared" si="63"/>
        <v>30000</v>
      </c>
      <c r="P69" s="35">
        <f t="shared" si="47"/>
        <v>350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1024</v>
      </c>
      <c r="X69" s="42">
        <v>20</v>
      </c>
      <c r="Y69" s="42">
        <v>200</v>
      </c>
    </row>
    <row r="70" spans="1:25" ht="15" x14ac:dyDescent="0.15">
      <c r="A70" s="27" t="s">
        <v>280</v>
      </c>
      <c r="B70" s="11" t="s">
        <v>172</v>
      </c>
      <c r="C70" s="12" t="s">
        <v>356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 t="shared" ref="L70" si="70">L28*3</f>
        <v>1904018984.9643507</v>
      </c>
      <c r="M70" s="39">
        <v>28713.634394675177</v>
      </c>
      <c r="N70" s="39">
        <f t="shared" si="63"/>
        <v>1595201910.8152874</v>
      </c>
      <c r="O70" s="39">
        <f t="shared" si="63"/>
        <v>30000</v>
      </c>
      <c r="P70" s="35">
        <f t="shared" si="47"/>
        <v>350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1024</v>
      </c>
      <c r="X70" s="42">
        <v>20</v>
      </c>
      <c r="Y70" s="42">
        <v>200</v>
      </c>
    </row>
    <row r="71" spans="1:25" ht="15" x14ac:dyDescent="0.15">
      <c r="A71" s="27" t="s">
        <v>357</v>
      </c>
      <c r="B71" s="11" t="s">
        <v>173</v>
      </c>
      <c r="C71" s="12" t="s">
        <v>356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 t="shared" ref="P71:U71" si="71">P48</f>
        <v>350</v>
      </c>
      <c r="Q71" s="36">
        <v>0.75</v>
      </c>
      <c r="R71" s="39">
        <f t="shared" si="71"/>
        <v>200</v>
      </c>
      <c r="S71" s="39">
        <f t="shared" si="71"/>
        <v>1</v>
      </c>
      <c r="T71" s="39">
        <f t="shared" si="71"/>
        <v>200</v>
      </c>
      <c r="U71" s="39">
        <f t="shared" si="71"/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282</v>
      </c>
      <c r="B72" s="11" t="s">
        <v>174</v>
      </c>
      <c r="C72" s="12" t="s">
        <v>356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 t="shared" ref="N72" si="72">N54*0.9</f>
        <v>239062500</v>
      </c>
      <c r="O72" s="39">
        <f>O51</f>
        <v>30000</v>
      </c>
      <c r="P72" s="39">
        <f t="shared" ref="P72:T72" si="73">P51</f>
        <v>350</v>
      </c>
      <c r="Q72" s="36">
        <v>0.75</v>
      </c>
      <c r="R72" s="39">
        <f t="shared" si="73"/>
        <v>1600</v>
      </c>
      <c r="S72" s="39">
        <f t="shared" si="73"/>
        <v>100</v>
      </c>
      <c r="T72" s="39">
        <f t="shared" si="73"/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283</v>
      </c>
      <c r="B73" s="11" t="s">
        <v>175</v>
      </c>
      <c r="C73" s="12" t="s">
        <v>356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 t="shared" ref="N73" si="74">N61*0.9</f>
        <v>1085830839.8437505</v>
      </c>
      <c r="O73" s="39">
        <f>O55</f>
        <v>30000</v>
      </c>
      <c r="P73" s="39">
        <f t="shared" ref="P73:U73" si="75">P55</f>
        <v>350</v>
      </c>
      <c r="Q73" s="36">
        <v>0.75</v>
      </c>
      <c r="R73" s="39">
        <f t="shared" si="75"/>
        <v>7020</v>
      </c>
      <c r="S73" s="39">
        <f t="shared" si="75"/>
        <v>100</v>
      </c>
      <c r="T73" s="39">
        <f t="shared" si="75"/>
        <v>200</v>
      </c>
      <c r="U73" s="39">
        <f t="shared" si="75"/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284</v>
      </c>
      <c r="B74" s="11" t="s">
        <v>176</v>
      </c>
      <c r="C74" s="12" t="s">
        <v>356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 t="shared" ref="N74" si="76">N65*0.9</f>
        <v>2049614293.2890639</v>
      </c>
      <c r="O74" s="39">
        <f>O60*1</f>
        <v>30000</v>
      </c>
      <c r="P74" s="39">
        <f t="shared" ref="P74:U74" si="77">P60*1</f>
        <v>350</v>
      </c>
      <c r="Q74" s="36">
        <v>0.75</v>
      </c>
      <c r="R74" s="39">
        <f t="shared" si="77"/>
        <v>20500.646400000001</v>
      </c>
      <c r="S74" s="39">
        <f t="shared" si="77"/>
        <v>100</v>
      </c>
      <c r="T74" s="39">
        <f t="shared" si="77"/>
        <v>200</v>
      </c>
      <c r="U74" s="39">
        <f t="shared" si="77"/>
        <v>150</v>
      </c>
      <c r="V74" s="42">
        <v>10</v>
      </c>
      <c r="W74" s="42">
        <v>5120</v>
      </c>
      <c r="X74" s="42">
        <v>20</v>
      </c>
      <c r="Y74" s="42">
        <v>200</v>
      </c>
    </row>
    <row r="75" spans="1:25" ht="15" x14ac:dyDescent="0.15">
      <c r="A75" s="27" t="s">
        <v>285</v>
      </c>
      <c r="B75" s="11" t="s">
        <v>177</v>
      </c>
      <c r="C75" s="12" t="s">
        <v>356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 t="shared" ref="P75:U75" si="78">P49*1</f>
        <v>350</v>
      </c>
      <c r="Q75" s="36">
        <v>0.75</v>
      </c>
      <c r="R75" s="39">
        <f t="shared" si="78"/>
        <v>400</v>
      </c>
      <c r="S75" s="39">
        <f t="shared" si="78"/>
        <v>10</v>
      </c>
      <c r="T75" s="39">
        <f t="shared" si="78"/>
        <v>200</v>
      </c>
      <c r="U75" s="39">
        <f t="shared" si="78"/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286</v>
      </c>
      <c r="B76" s="11" t="s">
        <v>178</v>
      </c>
      <c r="C76" s="12" t="s">
        <v>356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 t="shared" ref="N76" si="79">N55*1.1</f>
        <v>365234375</v>
      </c>
      <c r="O76" s="39">
        <f>O53*1</f>
        <v>30000</v>
      </c>
      <c r="P76" s="39">
        <f t="shared" ref="P76:T76" si="80">P53*1</f>
        <v>350</v>
      </c>
      <c r="Q76" s="36">
        <v>0.75</v>
      </c>
      <c r="R76" s="39">
        <f t="shared" si="80"/>
        <v>3600</v>
      </c>
      <c r="S76" s="39">
        <f t="shared" si="80"/>
        <v>100</v>
      </c>
      <c r="T76" s="39">
        <f t="shared" si="80"/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287</v>
      </c>
      <c r="B77" s="11" t="s">
        <v>179</v>
      </c>
      <c r="C77" s="12" t="s">
        <v>356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 t="shared" ref="N77" si="81">N63*0.9</f>
        <v>1552738100.9765635</v>
      </c>
      <c r="O77" s="39">
        <f>O58</f>
        <v>30000</v>
      </c>
      <c r="P77" s="39">
        <f t="shared" ref="P77:U77" si="82">P58</f>
        <v>350</v>
      </c>
      <c r="Q77" s="36">
        <v>0.75</v>
      </c>
      <c r="R77" s="39">
        <f t="shared" si="82"/>
        <v>14236.560000000001</v>
      </c>
      <c r="S77" s="39">
        <f t="shared" si="82"/>
        <v>100</v>
      </c>
      <c r="T77" s="39">
        <f t="shared" si="82"/>
        <v>200</v>
      </c>
      <c r="U77" s="39">
        <f t="shared" si="82"/>
        <v>130</v>
      </c>
      <c r="V77" s="42">
        <v>10</v>
      </c>
      <c r="W77" s="42">
        <v>4096</v>
      </c>
      <c r="X77" s="42">
        <v>0</v>
      </c>
      <c r="Y77" s="42">
        <v>0</v>
      </c>
    </row>
    <row r="78" spans="1:25" ht="15" x14ac:dyDescent="0.15">
      <c r="A78" s="27" t="s">
        <v>288</v>
      </c>
      <c r="B78" s="11" t="s">
        <v>180</v>
      </c>
      <c r="C78" s="12" t="s">
        <v>356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 t="shared" ref="N78" si="83">N65*1.2</f>
        <v>2732819057.7187514</v>
      </c>
      <c r="O78" s="39">
        <f>O64</f>
        <v>30000</v>
      </c>
      <c r="P78" s="39">
        <f t="shared" ref="P78:U78" si="84">P64</f>
        <v>350</v>
      </c>
      <c r="Q78" s="36">
        <v>0.75</v>
      </c>
      <c r="R78" s="39">
        <f t="shared" si="84"/>
        <v>30014.99639424001</v>
      </c>
      <c r="S78" s="39">
        <f t="shared" si="84"/>
        <v>100</v>
      </c>
      <c r="T78" s="39">
        <f t="shared" si="84"/>
        <v>200</v>
      </c>
      <c r="U78" s="39">
        <f t="shared" si="84"/>
        <v>190</v>
      </c>
      <c r="V78" s="42">
        <v>10</v>
      </c>
      <c r="W78" s="42">
        <v>6144</v>
      </c>
      <c r="X78" s="42">
        <v>20</v>
      </c>
      <c r="Y78" s="42">
        <v>200</v>
      </c>
    </row>
    <row r="79" spans="1:25" ht="15" x14ac:dyDescent="0.15">
      <c r="A79" s="27" t="s">
        <v>289</v>
      </c>
      <c r="B79" s="11" t="s">
        <v>181</v>
      </c>
      <c r="C79" s="12" t="s">
        <v>356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 t="shared" ref="N79" si="85">N53*1.1</f>
        <v>171875000</v>
      </c>
      <c r="O79" s="39">
        <f>O50*1</f>
        <v>3000</v>
      </c>
      <c r="P79" s="39">
        <f t="shared" ref="P79:T79" si="86">P50*1</f>
        <v>350</v>
      </c>
      <c r="Q79" s="36">
        <v>0.75</v>
      </c>
      <c r="R79" s="39">
        <f t="shared" si="86"/>
        <v>800</v>
      </c>
      <c r="S79" s="39">
        <f t="shared" si="86"/>
        <v>10</v>
      </c>
      <c r="T79" s="39">
        <f t="shared" si="86"/>
        <v>200</v>
      </c>
      <c r="U79" s="39">
        <v>100</v>
      </c>
      <c r="V79" s="42">
        <v>10</v>
      </c>
      <c r="W79" s="42">
        <v>2560</v>
      </c>
      <c r="X79" s="42">
        <v>0</v>
      </c>
      <c r="Y79" s="42">
        <v>0</v>
      </c>
    </row>
    <row r="80" spans="1:25" ht="15" x14ac:dyDescent="0.15">
      <c r="A80" s="27" t="s">
        <v>290</v>
      </c>
      <c r="B80" s="11" t="s">
        <v>182</v>
      </c>
      <c r="C80" s="12" t="s">
        <v>356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 t="shared" ref="N80" si="87">N55*1.1</f>
        <v>365234375</v>
      </c>
      <c r="O80" s="39">
        <f>O52*1</f>
        <v>30000</v>
      </c>
      <c r="P80" s="39">
        <f t="shared" ref="P80:U88" si="88">P52*1</f>
        <v>350</v>
      </c>
      <c r="Q80" s="36">
        <v>0.75</v>
      </c>
      <c r="R80" s="39">
        <f t="shared" si="88"/>
        <v>2400</v>
      </c>
      <c r="S80" s="39">
        <f t="shared" si="88"/>
        <v>100</v>
      </c>
      <c r="T80" s="39">
        <f t="shared" si="88"/>
        <v>200</v>
      </c>
      <c r="U80" s="39">
        <v>150</v>
      </c>
      <c r="V80" s="42">
        <v>10</v>
      </c>
      <c r="W80" s="42">
        <v>3072</v>
      </c>
      <c r="X80" s="42">
        <v>0</v>
      </c>
      <c r="Y80" s="42">
        <v>0</v>
      </c>
    </row>
    <row r="81" spans="1:25" ht="15" x14ac:dyDescent="0.15">
      <c r="A81" s="27" t="s">
        <v>291</v>
      </c>
      <c r="B81" s="11" t="s">
        <v>183</v>
      </c>
      <c r="C81" s="12" t="s">
        <v>356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 t="shared" ref="N81" si="89">N57*1.1</f>
        <v>602636718.75</v>
      </c>
      <c r="O81" s="39">
        <f t="shared" ref="O81:O88" si="90">O53*1</f>
        <v>30000</v>
      </c>
      <c r="P81" s="39">
        <f t="shared" si="88"/>
        <v>350</v>
      </c>
      <c r="Q81" s="36">
        <v>0.75</v>
      </c>
      <c r="R81" s="39">
        <f t="shared" si="88"/>
        <v>3600</v>
      </c>
      <c r="S81" s="39">
        <f t="shared" si="88"/>
        <v>100</v>
      </c>
      <c r="T81" s="39">
        <f t="shared" si="88"/>
        <v>200</v>
      </c>
      <c r="U81" s="39">
        <f t="shared" si="88"/>
        <v>80</v>
      </c>
      <c r="V81" s="42">
        <v>10</v>
      </c>
      <c r="W81" s="42">
        <v>3584</v>
      </c>
      <c r="X81" s="42">
        <v>0</v>
      </c>
      <c r="Y81" s="42">
        <v>0</v>
      </c>
    </row>
    <row r="82" spans="1:25" ht="15" x14ac:dyDescent="0.15">
      <c r="A82" s="27" t="s">
        <v>292</v>
      </c>
      <c r="B82" s="11" t="s">
        <v>184</v>
      </c>
      <c r="C82" s="12" t="s">
        <v>356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 t="shared" ref="N82" si="91">N59*1.1</f>
        <v>928060546.87500024</v>
      </c>
      <c r="O82" s="39">
        <f t="shared" si="90"/>
        <v>30000</v>
      </c>
      <c r="P82" s="39">
        <f t="shared" si="88"/>
        <v>350</v>
      </c>
      <c r="Q82" s="36">
        <v>0.75</v>
      </c>
      <c r="R82" s="39">
        <f t="shared" si="88"/>
        <v>5400</v>
      </c>
      <c r="S82" s="39">
        <f t="shared" si="88"/>
        <v>100</v>
      </c>
      <c r="T82" s="39">
        <f t="shared" si="88"/>
        <v>200</v>
      </c>
      <c r="U82" s="39">
        <f t="shared" si="88"/>
        <v>90</v>
      </c>
      <c r="V82" s="42">
        <v>10</v>
      </c>
      <c r="W82" s="42">
        <v>4096</v>
      </c>
      <c r="X82" s="42">
        <v>0</v>
      </c>
      <c r="Y82" s="42">
        <v>0</v>
      </c>
    </row>
    <row r="83" spans="1:25" ht="15" x14ac:dyDescent="0.15">
      <c r="A83" s="27" t="s">
        <v>293</v>
      </c>
      <c r="B83" s="11" t="s">
        <v>185</v>
      </c>
      <c r="C83" s="12" t="s">
        <v>356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 t="shared" ref="N83" si="92">N61*1.1</f>
        <v>1327126582.0312507</v>
      </c>
      <c r="O83" s="39">
        <f t="shared" si="90"/>
        <v>30000</v>
      </c>
      <c r="P83" s="39">
        <f t="shared" si="88"/>
        <v>350</v>
      </c>
      <c r="Q83" s="36">
        <v>0.75</v>
      </c>
      <c r="R83" s="39">
        <f t="shared" si="88"/>
        <v>7020</v>
      </c>
      <c r="S83" s="39">
        <f t="shared" si="88"/>
        <v>100</v>
      </c>
      <c r="T83" s="39">
        <f t="shared" si="88"/>
        <v>200</v>
      </c>
      <c r="U83" s="39">
        <f t="shared" si="88"/>
        <v>100</v>
      </c>
      <c r="V83" s="42">
        <v>10</v>
      </c>
      <c r="W83" s="42">
        <v>4608</v>
      </c>
      <c r="X83" s="42">
        <v>0</v>
      </c>
      <c r="Y83" s="42">
        <v>0</v>
      </c>
    </row>
    <row r="84" spans="1:25" ht="15" x14ac:dyDescent="0.15">
      <c r="A84" s="27" t="s">
        <v>294</v>
      </c>
      <c r="B84" s="11" t="s">
        <v>186</v>
      </c>
      <c r="C84" s="12" t="s">
        <v>356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 t="shared" ref="N84" si="93">N63*1.05</f>
        <v>1811527784.4726574</v>
      </c>
      <c r="O84" s="39">
        <f t="shared" si="90"/>
        <v>30000</v>
      </c>
      <c r="P84" s="39">
        <f t="shared" si="88"/>
        <v>350</v>
      </c>
      <c r="Q84" s="36">
        <v>0.75</v>
      </c>
      <c r="R84" s="39">
        <f t="shared" si="88"/>
        <v>9126</v>
      </c>
      <c r="S84" s="39">
        <f t="shared" si="88"/>
        <v>100</v>
      </c>
      <c r="T84" s="39">
        <f t="shared" si="88"/>
        <v>200</v>
      </c>
      <c r="U84" s="39">
        <f t="shared" si="88"/>
        <v>110</v>
      </c>
      <c r="V84" s="42">
        <v>10</v>
      </c>
      <c r="W84" s="42">
        <v>5120</v>
      </c>
      <c r="X84" s="42">
        <v>0</v>
      </c>
      <c r="Y84" s="42">
        <v>0</v>
      </c>
    </row>
    <row r="85" spans="1:25" ht="15" x14ac:dyDescent="0.15">
      <c r="A85" s="27" t="s">
        <v>295</v>
      </c>
      <c r="B85" s="11" t="s">
        <v>215</v>
      </c>
      <c r="C85" s="12" t="s">
        <v>356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 t="shared" ref="N85" si="94">N65*1.05</f>
        <v>2391216675.5039077</v>
      </c>
      <c r="O85" s="39">
        <f t="shared" si="90"/>
        <v>30000</v>
      </c>
      <c r="P85" s="39">
        <f t="shared" si="88"/>
        <v>350</v>
      </c>
      <c r="Q85" s="36">
        <v>0.75</v>
      </c>
      <c r="R85" s="39">
        <f t="shared" si="88"/>
        <v>11863.800000000001</v>
      </c>
      <c r="S85" s="39">
        <f t="shared" si="88"/>
        <v>100</v>
      </c>
      <c r="T85" s="39">
        <f t="shared" si="88"/>
        <v>200</v>
      </c>
      <c r="U85" s="39">
        <f t="shared" si="88"/>
        <v>120</v>
      </c>
      <c r="V85" s="42">
        <v>10</v>
      </c>
      <c r="W85" s="42">
        <v>5632</v>
      </c>
      <c r="X85" s="42">
        <v>20</v>
      </c>
      <c r="Y85" s="42">
        <v>200</v>
      </c>
    </row>
    <row r="86" spans="1:25" ht="15" x14ac:dyDescent="0.15">
      <c r="A86" s="27" t="s">
        <v>296</v>
      </c>
      <c r="B86" s="11" t="s">
        <v>216</v>
      </c>
      <c r="C86" s="12" t="s">
        <v>356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 t="shared" ref="N86:N88" si="95">N85*1.1</f>
        <v>2630338343.0542989</v>
      </c>
      <c r="O86" s="39">
        <f t="shared" si="90"/>
        <v>30000</v>
      </c>
      <c r="P86" s="39">
        <f t="shared" si="88"/>
        <v>350</v>
      </c>
      <c r="Q86" s="36">
        <v>0.75</v>
      </c>
      <c r="R86" s="39">
        <f t="shared" si="88"/>
        <v>14236.560000000001</v>
      </c>
      <c r="S86" s="39">
        <f t="shared" si="88"/>
        <v>100</v>
      </c>
      <c r="T86" s="39">
        <f t="shared" si="88"/>
        <v>200</v>
      </c>
      <c r="U86" s="39">
        <f t="shared" si="88"/>
        <v>130</v>
      </c>
      <c r="V86" s="42">
        <v>10</v>
      </c>
      <c r="W86" s="42">
        <v>6144</v>
      </c>
      <c r="X86" s="42">
        <v>20</v>
      </c>
      <c r="Y86" s="42">
        <v>200</v>
      </c>
    </row>
    <row r="87" spans="1:25" ht="15" x14ac:dyDescent="0.15">
      <c r="A87" s="27" t="s">
        <v>297</v>
      </c>
      <c r="B87" s="11" t="s">
        <v>217</v>
      </c>
      <c r="C87" s="12" t="s">
        <v>356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6">L86*1.1</f>
        <v>1446686088.6798644</v>
      </c>
      <c r="M87" s="39">
        <v>7812.1048788712642</v>
      </c>
      <c r="N87" s="39">
        <f t="shared" si="95"/>
        <v>2893372177.3597288</v>
      </c>
      <c r="O87" s="39">
        <f t="shared" si="90"/>
        <v>30000</v>
      </c>
      <c r="P87" s="39">
        <f t="shared" si="88"/>
        <v>350</v>
      </c>
      <c r="Q87" s="36">
        <v>0.75</v>
      </c>
      <c r="R87" s="39">
        <f t="shared" si="88"/>
        <v>17083.871999999999</v>
      </c>
      <c r="S87" s="39">
        <f t="shared" si="88"/>
        <v>100</v>
      </c>
      <c r="T87" s="39">
        <f t="shared" si="88"/>
        <v>200</v>
      </c>
      <c r="U87" s="39">
        <f t="shared" si="88"/>
        <v>140</v>
      </c>
      <c r="V87" s="42">
        <v>10</v>
      </c>
      <c r="W87" s="42">
        <v>6656</v>
      </c>
      <c r="X87" s="42">
        <v>20</v>
      </c>
      <c r="Y87" s="42">
        <v>200</v>
      </c>
    </row>
    <row r="88" spans="1:25" ht="15" x14ac:dyDescent="0.15">
      <c r="A88" s="27" t="s">
        <v>298</v>
      </c>
      <c r="B88" s="11" t="s">
        <v>220</v>
      </c>
      <c r="C88" s="12" t="s">
        <v>356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6"/>
        <v>1591354697.5478511</v>
      </c>
      <c r="M88" s="39">
        <v>8593.315366758392</v>
      </c>
      <c r="N88" s="39">
        <f t="shared" si="95"/>
        <v>3182709395.0957022</v>
      </c>
      <c r="O88" s="39">
        <f t="shared" si="90"/>
        <v>30000</v>
      </c>
      <c r="P88" s="39">
        <f t="shared" si="88"/>
        <v>350</v>
      </c>
      <c r="Q88" s="36">
        <v>0.75</v>
      </c>
      <c r="R88" s="39">
        <f t="shared" si="88"/>
        <v>20500.646400000001</v>
      </c>
      <c r="S88" s="39">
        <f t="shared" si="88"/>
        <v>100</v>
      </c>
      <c r="T88" s="39">
        <f t="shared" si="88"/>
        <v>200</v>
      </c>
      <c r="U88" s="39">
        <f t="shared" si="88"/>
        <v>150</v>
      </c>
      <c r="V88" s="42">
        <v>10</v>
      </c>
      <c r="W88" s="42">
        <v>7680</v>
      </c>
      <c r="X88" s="42">
        <v>20</v>
      </c>
      <c r="Y88" s="42">
        <v>200</v>
      </c>
    </row>
    <row r="89" spans="1:25" ht="15" x14ac:dyDescent="0.15">
      <c r="A89" s="27" t="s">
        <v>383</v>
      </c>
      <c r="B89" s="11" t="s">
        <v>221</v>
      </c>
      <c r="C89" s="12" t="s">
        <v>344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L93/11</f>
        <v>28762207.03125</v>
      </c>
      <c r="M89" s="39">
        <v>155.31591796875003</v>
      </c>
      <c r="N89" s="39">
        <f t="shared" ref="N89" si="97">N93/11</f>
        <v>57524414.0625</v>
      </c>
      <c r="O89" s="39">
        <f>O55*1</f>
        <v>30000</v>
      </c>
      <c r="P89" s="39">
        <f t="shared" ref="P89:X89" si="98">P55*1</f>
        <v>350</v>
      </c>
      <c r="Q89" s="39">
        <f t="shared" si="98"/>
        <v>0.75</v>
      </c>
      <c r="R89" s="39">
        <f t="shared" si="98"/>
        <v>7020</v>
      </c>
      <c r="S89" s="39">
        <f t="shared" si="98"/>
        <v>100</v>
      </c>
      <c r="T89" s="39">
        <f t="shared" si="98"/>
        <v>200</v>
      </c>
      <c r="U89" s="39">
        <f t="shared" si="98"/>
        <v>100</v>
      </c>
      <c r="V89" s="39">
        <v>10</v>
      </c>
      <c r="W89" s="39">
        <v>640</v>
      </c>
      <c r="X89" s="39">
        <f t="shared" si="98"/>
        <v>0</v>
      </c>
      <c r="Y89" s="39">
        <v>0</v>
      </c>
    </row>
    <row r="90" spans="1:25" ht="15" x14ac:dyDescent="0.15">
      <c r="A90" s="27" t="s">
        <v>385</v>
      </c>
      <c r="B90" s="11" t="s">
        <v>222</v>
      </c>
      <c r="C90" s="12" t="s">
        <v>344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 t="shared" ref="L90:N92" si="99">L94/11</f>
        <v>63340132.32421878</v>
      </c>
      <c r="M90" s="39">
        <v>342.03671455078131</v>
      </c>
      <c r="N90" s="39">
        <f t="shared" si="99"/>
        <v>126680264.64843756</v>
      </c>
      <c r="O90" s="39">
        <f>O59*1</f>
        <v>30000</v>
      </c>
      <c r="P90" s="39">
        <f t="shared" ref="P90:X90" si="100">P59*1</f>
        <v>350</v>
      </c>
      <c r="Q90" s="39">
        <f t="shared" si="100"/>
        <v>0.75</v>
      </c>
      <c r="R90" s="39">
        <f t="shared" si="100"/>
        <v>17083.871999999999</v>
      </c>
      <c r="S90" s="39">
        <f t="shared" si="100"/>
        <v>100</v>
      </c>
      <c r="T90" s="39">
        <f t="shared" si="100"/>
        <v>200</v>
      </c>
      <c r="U90" s="39">
        <f t="shared" si="100"/>
        <v>140</v>
      </c>
      <c r="V90" s="39">
        <v>10</v>
      </c>
      <c r="W90" s="39">
        <v>1280</v>
      </c>
      <c r="X90" s="39">
        <f t="shared" si="100"/>
        <v>0</v>
      </c>
      <c r="Y90" s="39">
        <v>0</v>
      </c>
    </row>
    <row r="91" spans="1:25" ht="15" x14ac:dyDescent="0.15">
      <c r="A91" s="27" t="s">
        <v>386</v>
      </c>
      <c r="B91" s="11" t="s">
        <v>223</v>
      </c>
      <c r="C91" s="12" t="s">
        <v>344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 t="shared" si="99"/>
        <v>114126250.42177743</v>
      </c>
      <c r="M91" s="39">
        <v>616.28175227759789</v>
      </c>
      <c r="N91" s="39">
        <f t="shared" si="99"/>
        <v>228252500.84355485</v>
      </c>
      <c r="O91" s="39">
        <f>O63*1</f>
        <v>30000</v>
      </c>
      <c r="P91" s="39">
        <f t="shared" ref="P91:X91" si="101">P63*1</f>
        <v>350</v>
      </c>
      <c r="Q91" s="39">
        <f t="shared" si="101"/>
        <v>0.75</v>
      </c>
      <c r="R91" s="39">
        <f t="shared" si="101"/>
        <v>27286.360358400005</v>
      </c>
      <c r="S91" s="39">
        <f t="shared" si="101"/>
        <v>100</v>
      </c>
      <c r="T91" s="39">
        <f t="shared" si="101"/>
        <v>200</v>
      </c>
      <c r="U91" s="39">
        <f t="shared" si="101"/>
        <v>180</v>
      </c>
      <c r="V91" s="39">
        <v>10</v>
      </c>
      <c r="W91" s="39">
        <v>1920</v>
      </c>
      <c r="X91" s="39">
        <f t="shared" si="101"/>
        <v>0</v>
      </c>
      <c r="Y91" s="39">
        <v>0</v>
      </c>
    </row>
    <row r="92" spans="1:25" ht="15" x14ac:dyDescent="0.15">
      <c r="A92" s="27" t="s">
        <v>387</v>
      </c>
      <c r="B92" s="11" t="s">
        <v>224</v>
      </c>
      <c r="C92" s="12" t="s">
        <v>344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L96/11</f>
        <v>138092763.0103507</v>
      </c>
      <c r="M92" s="39">
        <v>745.70092025589338</v>
      </c>
      <c r="N92" s="39">
        <f t="shared" si="99"/>
        <v>276185526.02070141</v>
      </c>
      <c r="O92" s="39">
        <f>O69*1</f>
        <v>30000</v>
      </c>
      <c r="P92" s="39">
        <f t="shared" ref="P92:U92" si="102">P69*1</f>
        <v>350</v>
      </c>
      <c r="Q92" s="39">
        <f t="shared" si="102"/>
        <v>0.75</v>
      </c>
      <c r="R92" s="39">
        <f t="shared" si="102"/>
        <v>48339.451842887494</v>
      </c>
      <c r="S92" s="39">
        <f t="shared" si="102"/>
        <v>100</v>
      </c>
      <c r="T92" s="39">
        <f t="shared" si="102"/>
        <v>200</v>
      </c>
      <c r="U92" s="39">
        <f t="shared" si="102"/>
        <v>240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384</v>
      </c>
      <c r="B93" s="11" t="s">
        <v>225</v>
      </c>
      <c r="C93" s="12" t="s">
        <v>356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 t="shared" ref="N93" si="103">N81*1.05</f>
        <v>632768554.6875</v>
      </c>
      <c r="O93" s="39">
        <f>O57*1</f>
        <v>30000</v>
      </c>
      <c r="P93" s="39">
        <f t="shared" ref="P93:X93" si="104">P57*1</f>
        <v>350</v>
      </c>
      <c r="Q93" s="36">
        <v>0.75</v>
      </c>
      <c r="R93" s="39">
        <f t="shared" si="104"/>
        <v>11863.800000000001</v>
      </c>
      <c r="S93" s="39">
        <f t="shared" si="104"/>
        <v>100</v>
      </c>
      <c r="T93" s="39">
        <f t="shared" si="104"/>
        <v>200</v>
      </c>
      <c r="U93" s="39">
        <f t="shared" si="104"/>
        <v>120</v>
      </c>
      <c r="V93" s="39">
        <v>10</v>
      </c>
      <c r="W93" s="39">
        <v>3200</v>
      </c>
      <c r="X93" s="39">
        <f t="shared" si="104"/>
        <v>0</v>
      </c>
      <c r="Y93" s="39">
        <v>0</v>
      </c>
    </row>
    <row r="94" spans="1:25" ht="15" x14ac:dyDescent="0.15">
      <c r="A94" s="27" t="s">
        <v>388</v>
      </c>
      <c r="B94" s="11" t="s">
        <v>226</v>
      </c>
      <c r="C94" s="12" t="s">
        <v>356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 t="shared" ref="N94" si="105">N83*1.05</f>
        <v>1393482911.1328132</v>
      </c>
      <c r="O94" s="39">
        <f>O61*1</f>
        <v>30000</v>
      </c>
      <c r="P94" s="39">
        <f t="shared" ref="P94:X94" si="106">P61*1</f>
        <v>350</v>
      </c>
      <c r="Q94" s="36">
        <v>0.75</v>
      </c>
      <c r="R94" s="39">
        <f t="shared" si="106"/>
        <v>22550.711040000002</v>
      </c>
      <c r="S94" s="39">
        <f t="shared" si="106"/>
        <v>100</v>
      </c>
      <c r="T94" s="39">
        <f t="shared" si="106"/>
        <v>200</v>
      </c>
      <c r="U94" s="39">
        <f t="shared" si="106"/>
        <v>160</v>
      </c>
      <c r="V94" s="39">
        <v>10</v>
      </c>
      <c r="W94" s="39">
        <v>3840</v>
      </c>
      <c r="X94" s="39">
        <f t="shared" si="106"/>
        <v>0</v>
      </c>
      <c r="Y94" s="39">
        <v>0</v>
      </c>
    </row>
    <row r="95" spans="1:25" ht="15" x14ac:dyDescent="0.15">
      <c r="A95" s="27" t="s">
        <v>389</v>
      </c>
      <c r="B95" s="11" t="s">
        <v>227</v>
      </c>
      <c r="C95" s="12" t="s">
        <v>356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 t="shared" ref="N95" si="107">N85*1.05</f>
        <v>2510777509.2791033</v>
      </c>
      <c r="O95" s="39">
        <f>O65*1</f>
        <v>30000</v>
      </c>
      <c r="P95" s="39">
        <f t="shared" ref="P95:X95" si="108">P65*1</f>
        <v>350</v>
      </c>
      <c r="Q95" s="36">
        <v>0.75</v>
      </c>
      <c r="R95" s="39">
        <f t="shared" si="108"/>
        <v>33016.496033664014</v>
      </c>
      <c r="S95" s="39">
        <f t="shared" si="108"/>
        <v>100</v>
      </c>
      <c r="T95" s="39">
        <f t="shared" si="108"/>
        <v>200</v>
      </c>
      <c r="U95" s="39">
        <f t="shared" si="108"/>
        <v>200</v>
      </c>
      <c r="V95" s="39">
        <v>10</v>
      </c>
      <c r="W95" s="39">
        <v>5120</v>
      </c>
      <c r="X95" s="39">
        <v>20</v>
      </c>
      <c r="Y95" s="42">
        <v>200</v>
      </c>
    </row>
    <row r="96" spans="1:25" ht="15" x14ac:dyDescent="0.15">
      <c r="A96" s="27" t="s">
        <v>390</v>
      </c>
      <c r="B96" s="11" t="s">
        <v>228</v>
      </c>
      <c r="C96" s="12" t="s">
        <v>356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 t="shared" ref="N96" si="109">N87*1.05</f>
        <v>3038040786.2277155</v>
      </c>
      <c r="O96" s="39">
        <f>O69*1</f>
        <v>30000</v>
      </c>
      <c r="P96" s="39">
        <f t="shared" ref="P96:X96" si="110">P69*1</f>
        <v>350</v>
      </c>
      <c r="Q96" s="36">
        <v>0.75</v>
      </c>
      <c r="R96" s="39">
        <f t="shared" si="110"/>
        <v>48339.451842887494</v>
      </c>
      <c r="S96" s="39">
        <f t="shared" si="110"/>
        <v>100</v>
      </c>
      <c r="T96" s="39">
        <f t="shared" si="110"/>
        <v>200</v>
      </c>
      <c r="U96" s="39">
        <f t="shared" si="110"/>
        <v>240</v>
      </c>
      <c r="V96" s="39">
        <v>10</v>
      </c>
      <c r="W96" s="39">
        <v>7680</v>
      </c>
      <c r="X96" s="39">
        <v>20</v>
      </c>
      <c r="Y96" s="42">
        <v>200</v>
      </c>
    </row>
    <row r="97" spans="1:25" ht="15" x14ac:dyDescent="0.15">
      <c r="A97" s="27" t="s">
        <v>299</v>
      </c>
      <c r="B97" s="11" t="s">
        <v>229</v>
      </c>
      <c r="C97" s="12" t="s">
        <v>344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>O4</f>
        <v>100</v>
      </c>
      <c r="P97" s="39">
        <f t="shared" ref="P97:X97" si="111">P4</f>
        <v>350</v>
      </c>
      <c r="Q97" s="39">
        <f t="shared" si="111"/>
        <v>1</v>
      </c>
      <c r="R97" s="39">
        <f t="shared" si="111"/>
        <v>10</v>
      </c>
      <c r="S97" s="39">
        <f t="shared" si="111"/>
        <v>1</v>
      </c>
      <c r="T97" s="39">
        <f t="shared" si="111"/>
        <v>200</v>
      </c>
      <c r="U97" s="39">
        <f t="shared" si="111"/>
        <v>10</v>
      </c>
      <c r="V97" s="39">
        <v>10</v>
      </c>
      <c r="W97" s="39">
        <v>0</v>
      </c>
      <c r="X97" s="39">
        <f t="shared" si="111"/>
        <v>0</v>
      </c>
      <c r="Y97" s="39">
        <v>0</v>
      </c>
    </row>
    <row r="98" spans="1:25" ht="15" x14ac:dyDescent="0.15">
      <c r="A98" s="3" t="s">
        <v>342</v>
      </c>
      <c r="B98" s="11" t="s">
        <v>343</v>
      </c>
      <c r="C98" s="12" t="s">
        <v>356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X99" si="112">O4</f>
        <v>100</v>
      </c>
      <c r="P98" s="39">
        <f t="shared" si="112"/>
        <v>350</v>
      </c>
      <c r="Q98" s="39">
        <f t="shared" si="112"/>
        <v>1</v>
      </c>
      <c r="R98" s="39">
        <f t="shared" si="112"/>
        <v>10</v>
      </c>
      <c r="S98" s="39">
        <f t="shared" si="112"/>
        <v>1</v>
      </c>
      <c r="T98" s="39">
        <v>400</v>
      </c>
      <c r="U98" s="39">
        <f t="shared" si="112"/>
        <v>10</v>
      </c>
      <c r="V98" s="39">
        <v>10</v>
      </c>
      <c r="W98" s="39">
        <v>512</v>
      </c>
      <c r="X98" s="39">
        <f t="shared" si="112"/>
        <v>0</v>
      </c>
      <c r="Y98" s="39">
        <v>0</v>
      </c>
    </row>
    <row r="99" spans="1:25" ht="15" x14ac:dyDescent="0.15">
      <c r="A99" s="51" t="s">
        <v>380</v>
      </c>
      <c r="B99" s="11" t="s">
        <v>381</v>
      </c>
      <c r="C99" s="12" t="s">
        <v>356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112"/>
        <v>100</v>
      </c>
      <c r="P99" s="39">
        <f t="shared" si="112"/>
        <v>350</v>
      </c>
      <c r="Q99" s="39">
        <f t="shared" si="112"/>
        <v>1</v>
      </c>
      <c r="R99" s="39">
        <f t="shared" si="112"/>
        <v>100</v>
      </c>
      <c r="S99" s="39">
        <f t="shared" si="112"/>
        <v>1</v>
      </c>
      <c r="T99" s="39">
        <v>400</v>
      </c>
      <c r="U99" s="39">
        <f t="shared" si="112"/>
        <v>20</v>
      </c>
      <c r="V99" s="39">
        <v>10</v>
      </c>
      <c r="W99" s="39">
        <v>640</v>
      </c>
      <c r="X99" s="39">
        <f t="shared" si="112"/>
        <v>0</v>
      </c>
      <c r="Y99" s="39">
        <v>0</v>
      </c>
    </row>
    <row r="100" spans="1:25" ht="15" x14ac:dyDescent="0.15">
      <c r="A100" s="52" t="s">
        <v>394</v>
      </c>
      <c r="B100" s="11" t="s">
        <v>403</v>
      </c>
      <c r="C100" s="12" t="s">
        <v>356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v>2756.3398242187504</v>
      </c>
      <c r="N100">
        <f t="shared" ref="N100" si="113">N82*1.1</f>
        <v>1020866601.5625004</v>
      </c>
      <c r="O100" s="39">
        <f t="shared" ref="O100:U100" si="114">O72*1</f>
        <v>30000</v>
      </c>
      <c r="P100" s="39">
        <f t="shared" si="114"/>
        <v>350</v>
      </c>
      <c r="Q100" s="36">
        <v>0.75</v>
      </c>
      <c r="R100" s="39">
        <f t="shared" si="114"/>
        <v>1600</v>
      </c>
      <c r="S100" s="39">
        <f t="shared" si="114"/>
        <v>100</v>
      </c>
      <c r="T100" s="39">
        <f t="shared" si="114"/>
        <v>200</v>
      </c>
      <c r="U100" s="39">
        <f t="shared" si="114"/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395</v>
      </c>
      <c r="B101" s="11" t="s">
        <v>404</v>
      </c>
      <c r="C101" s="12" t="s">
        <v>356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396</v>
      </c>
      <c r="B102" s="11" t="s">
        <v>405</v>
      </c>
      <c r="C102" s="12" t="s">
        <v>356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397</v>
      </c>
      <c r="B103" s="11" t="s">
        <v>406</v>
      </c>
      <c r="C103" s="12" t="s">
        <v>356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398</v>
      </c>
      <c r="B104" s="11" t="s">
        <v>407</v>
      </c>
      <c r="C104" s="12" t="s">
        <v>356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399</v>
      </c>
      <c r="B105" s="11" t="s">
        <v>408</v>
      </c>
      <c r="C105" s="12" t="s">
        <v>356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400</v>
      </c>
      <c r="B106" s="11" t="s">
        <v>409</v>
      </c>
      <c r="C106" s="12" t="s">
        <v>356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401</v>
      </c>
      <c r="B107" s="11" t="s">
        <v>410</v>
      </c>
      <c r="C107" s="12" t="s">
        <v>356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402</v>
      </c>
      <c r="B108" s="11" t="s">
        <v>411</v>
      </c>
      <c r="C108" s="12" t="s">
        <v>356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421</v>
      </c>
      <c r="B109" s="11" t="s">
        <v>422</v>
      </c>
      <c r="C109" s="12" t="s">
        <v>356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 t="shared" ref="N109" si="115"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200</v>
      </c>
    </row>
    <row r="110" spans="1:25" ht="15" x14ac:dyDescent="0.15">
      <c r="A110" s="16" t="s">
        <v>424</v>
      </c>
      <c r="B110" s="11" t="s">
        <v>425</v>
      </c>
      <c r="C110" s="12" t="s">
        <v>344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16"/>
      <c r="B111" s="11"/>
      <c r="C111" s="7"/>
    </row>
    <row r="112" spans="1:25" ht="15" x14ac:dyDescent="0.15">
      <c r="A112" s="16"/>
      <c r="B112" s="11"/>
      <c r="C112" s="7"/>
    </row>
    <row r="113" spans="1:3" ht="15" x14ac:dyDescent="0.15">
      <c r="A113" s="16"/>
      <c r="B113" s="11"/>
      <c r="C113" s="7"/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2019-06-13T16:33:35Z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